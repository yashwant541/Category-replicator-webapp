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EMEA" sheetId="1" state="visible" r:id="rId1"/>
    <sheet xmlns:r="http://schemas.openxmlformats.org/officeDocument/2006/relationships" name="Retail_APAC" sheetId="2" state="visible" r:id="rId2"/>
    <sheet xmlns:r="http://schemas.openxmlformats.org/officeDocument/2006/relationships" name="Corporate_Global" sheetId="3" state="visible" r:id="rId3"/>
    <sheet xmlns:r="http://schemas.openxmlformats.org/officeDocument/2006/relationships" name="SME_Global" sheetId="4" state="visible" r:id="rId4"/>
    <sheet xmlns:r="http://schemas.openxmlformats.org/officeDocument/2006/relationships" name="Rating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Countries" sheetId="7" state="visible" r:id="rId7"/>
    <sheet xmlns:r="http://schemas.openxmlformats.org/officeDocument/2006/relationships" name="F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PD</t>
        </is>
      </c>
      <c r="O1" t="inlineStr">
        <is>
          <t>LGD</t>
        </is>
      </c>
      <c r="P1" t="inlineStr">
        <is>
          <t>Expected_Loss</t>
        </is>
      </c>
    </row>
    <row r="2">
      <c r="A2" t="inlineStr">
        <is>
          <t>R50001</t>
        </is>
      </c>
      <c r="B2" t="inlineStr">
        <is>
          <t>Redwood Ltd</t>
        </is>
      </c>
      <c r="C2" t="inlineStr">
        <is>
          <t>Retail</t>
        </is>
      </c>
      <c r="D2" t="inlineStr">
        <is>
          <t>EMEA</t>
        </is>
      </c>
      <c r="E2" t="inlineStr">
        <is>
          <t>Credit Card</t>
        </is>
      </c>
      <c r="F2" t="inlineStr">
        <is>
          <t>AAA</t>
        </is>
      </c>
      <c r="G2" t="inlineStr">
        <is>
          <t>AE</t>
        </is>
      </c>
      <c r="H2" t="inlineStr">
        <is>
          <t>AED</t>
        </is>
      </c>
      <c r="I2" t="n">
        <v>5223</v>
      </c>
      <c r="J2" t="n">
        <v>1567</v>
      </c>
      <c r="K2" s="1" t="n">
        <v>47486</v>
      </c>
      <c r="L2">
        <f>VLOOKUP(H2,FX!$A$2:$B$8,2,FALSE)</f>
        <v>0.2723</v>
      </c>
      <c r="M2">
        <f>ROUND(I2*L2,2)</f>
        <v>1422.22</v>
      </c>
      <c r="N2">
        <f>VLOOKUP(F2,Ratings!$A$2:$C$7,2,FALSE)</f>
        <v>0.0003</v>
      </c>
      <c r="O2">
        <f>VLOOKUP(E2,Products!$A$2:$C$7,2,FALSE)</f>
        <v>0.65</v>
      </c>
      <c r="P2">
        <f>ROUND(M2*N2*O2,2)</f>
        <v>0.28</v>
      </c>
    </row>
    <row r="3">
      <c r="A3" t="inlineStr">
        <is>
          <t>R50002</t>
        </is>
      </c>
      <c r="B3" t="inlineStr">
        <is>
          <t>Harbor Group</t>
        </is>
      </c>
      <c r="C3" t="inlineStr">
        <is>
          <t>Retail</t>
        </is>
      </c>
      <c r="D3" t="inlineStr">
        <is>
          <t>EMEA</t>
        </is>
      </c>
      <c r="E3" t="inlineStr">
        <is>
          <t>Personal Loan</t>
        </is>
      </c>
      <c r="F3" t="inlineStr">
        <is>
          <t>AA</t>
        </is>
      </c>
      <c r="G3" t="inlineStr">
        <is>
          <t>AE</t>
        </is>
      </c>
      <c r="H3" t="inlineStr">
        <is>
          <t>AED</t>
        </is>
      </c>
      <c r="I3" t="n">
        <v>5966</v>
      </c>
      <c r="J3" t="n">
        <v>1790</v>
      </c>
      <c r="K3" s="1" t="n">
        <v>48098</v>
      </c>
      <c r="L3">
        <f>VLOOKUP(H3,FX!$A$2:$B$8,2,FALSE)</f>
        <v>0.2723</v>
      </c>
      <c r="M3">
        <f>ROUND(I3*L3,2)</f>
        <v>1624.54</v>
      </c>
      <c r="N3">
        <f>VLOOKUP(F3,Ratings!$A$2:$C$7,2,FALSE)</f>
        <v>0.001</v>
      </c>
      <c r="O3">
        <f>VLOOKUP(E3,Products!$A$2:$C$7,2,FALSE)</f>
        <v>0.45</v>
      </c>
      <c r="P3">
        <f>ROUND(M3*N3*O3,2)</f>
        <v>0.73</v>
      </c>
    </row>
    <row r="4">
      <c r="A4" t="inlineStr">
        <is>
          <t>R50003</t>
        </is>
      </c>
      <c r="B4" t="inlineStr">
        <is>
          <t>Cedar Corp</t>
        </is>
      </c>
      <c r="C4" t="inlineStr">
        <is>
          <t>Retail</t>
        </is>
      </c>
      <c r="D4" t="inlineStr">
        <is>
          <t>EMEA</t>
        </is>
      </c>
      <c r="E4" t="inlineStr">
        <is>
          <t>Mortgage</t>
        </is>
      </c>
      <c r="F4" t="inlineStr">
        <is>
          <t>AAA</t>
        </is>
      </c>
      <c r="G4" t="inlineStr">
        <is>
          <t>UK</t>
        </is>
      </c>
      <c r="H4" t="inlineStr">
        <is>
          <t>GBP</t>
        </is>
      </c>
      <c r="I4" t="n">
        <v>1232259</v>
      </c>
      <c r="J4" t="n">
        <v>0</v>
      </c>
      <c r="K4" s="1" t="n">
        <v>49196</v>
      </c>
      <c r="L4">
        <f>VLOOKUP(H4,FX!$A$2:$B$8,2,FALSE)</f>
        <v>1.27</v>
      </c>
      <c r="M4">
        <f>ROUND(I4*L4,2)</f>
        <v>1564968.93</v>
      </c>
      <c r="N4">
        <f>VLOOKUP(F4,Ratings!$A$2:$C$7,2,FALSE)</f>
        <v>0.0003</v>
      </c>
      <c r="O4">
        <f>VLOOKUP(E4,Products!$A$2:$C$7,2,FALSE)</f>
        <v>0.15</v>
      </c>
      <c r="P4">
        <f>ROUND(M4*N4*O4,2)</f>
        <v>70.42</v>
      </c>
    </row>
    <row r="5">
      <c r="A5" t="inlineStr">
        <is>
          <t>R50004</t>
        </is>
      </c>
      <c r="B5" t="inlineStr">
        <is>
          <t>Harbor Corp</t>
        </is>
      </c>
      <c r="C5" t="inlineStr">
        <is>
          <t>Retail</t>
        </is>
      </c>
      <c r="D5" t="inlineStr">
        <is>
          <t>EMEA</t>
        </is>
      </c>
      <c r="E5" t="inlineStr">
        <is>
          <t>Credit Card</t>
        </is>
      </c>
      <c r="F5" t="inlineStr">
        <is>
          <t>AAA</t>
        </is>
      </c>
      <c r="G5" t="inlineStr">
        <is>
          <t>UK</t>
        </is>
      </c>
      <c r="H5" t="inlineStr">
        <is>
          <t>GBP</t>
        </is>
      </c>
      <c r="I5" t="n">
        <v>6433</v>
      </c>
      <c r="J5" t="n">
        <v>5790</v>
      </c>
      <c r="K5" s="1" t="n">
        <v>47003</v>
      </c>
      <c r="L5">
        <f>VLOOKUP(H5,FX!$A$2:$B$8,2,FALSE)</f>
        <v>1.27</v>
      </c>
      <c r="M5">
        <f>ROUND(I5*L5,2)</f>
        <v>8169.91</v>
      </c>
      <c r="N5">
        <f>VLOOKUP(F5,Ratings!$A$2:$C$7,2,FALSE)</f>
        <v>0.0003</v>
      </c>
      <c r="O5">
        <f>VLOOKUP(E5,Products!$A$2:$C$7,2,FALSE)</f>
        <v>0.65</v>
      </c>
      <c r="P5">
        <f>ROUND(M5*N5*O5,2)</f>
        <v>1.59</v>
      </c>
    </row>
    <row r="6">
      <c r="A6" t="inlineStr">
        <is>
          <t>R50005</t>
        </is>
      </c>
      <c r="B6" t="inlineStr">
        <is>
          <t>Atlas Corp</t>
        </is>
      </c>
      <c r="C6" t="inlineStr">
        <is>
          <t>Retail</t>
        </is>
      </c>
      <c r="D6" t="inlineStr">
        <is>
          <t>EMEA</t>
        </is>
      </c>
      <c r="E6" t="inlineStr">
        <is>
          <t>Personal Loan</t>
        </is>
      </c>
      <c r="F6" t="inlineStr">
        <is>
          <t>B</t>
        </is>
      </c>
      <c r="G6" t="inlineStr">
        <is>
          <t>UK</t>
        </is>
      </c>
      <c r="H6" t="inlineStr">
        <is>
          <t>GBP</t>
        </is>
      </c>
      <c r="I6" t="n">
        <v>1507740</v>
      </c>
      <c r="J6" t="n">
        <v>0</v>
      </c>
      <c r="K6" s="1" t="n">
        <v>46966</v>
      </c>
      <c r="L6">
        <f>VLOOKUP(H6,FX!$A$2:$B$8,2,FALSE)</f>
        <v>1.27</v>
      </c>
      <c r="M6">
        <f>ROUND(I6*L6,2)</f>
        <v>1914829.8</v>
      </c>
      <c r="N6">
        <f>VLOOKUP(F6,Ratings!$A$2:$C$7,2,FALSE)</f>
        <v>0.1</v>
      </c>
      <c r="O6">
        <f>VLOOKUP(E6,Products!$A$2:$C$7,2,FALSE)</f>
        <v>0.45</v>
      </c>
      <c r="P6">
        <f>ROUND(M6*N6*O6,2)</f>
        <v>86167.34</v>
      </c>
    </row>
    <row r="7">
      <c r="A7" t="inlineStr">
        <is>
          <t>R50006</t>
        </is>
      </c>
      <c r="B7" t="inlineStr">
        <is>
          <t>Orion Holdings</t>
        </is>
      </c>
      <c r="C7" t="inlineStr">
        <is>
          <t>Retail</t>
        </is>
      </c>
      <c r="D7" t="inlineStr">
        <is>
          <t>EMEA</t>
        </is>
      </c>
      <c r="E7" t="inlineStr">
        <is>
          <t>Personal Loan</t>
        </is>
      </c>
      <c r="F7" t="inlineStr">
        <is>
          <t>AAA</t>
        </is>
      </c>
      <c r="G7" t="inlineStr">
        <is>
          <t>UK</t>
        </is>
      </c>
      <c r="H7" t="inlineStr">
        <is>
          <t>GBP</t>
        </is>
      </c>
      <c r="I7" t="n">
        <v>5166</v>
      </c>
      <c r="J7" t="n">
        <v>0</v>
      </c>
      <c r="K7" s="1" t="n">
        <v>48971</v>
      </c>
      <c r="L7">
        <f>VLOOKUP(H7,FX!$A$2:$B$8,2,FALSE)</f>
        <v>1.27</v>
      </c>
      <c r="M7">
        <f>ROUND(I7*L7,2)</f>
        <v>6560.82</v>
      </c>
      <c r="N7">
        <f>VLOOKUP(F7,Ratings!$A$2:$C$7,2,FALSE)</f>
        <v>0.0003</v>
      </c>
      <c r="O7">
        <f>VLOOKUP(E7,Products!$A$2:$C$7,2,FALSE)</f>
        <v>0.45</v>
      </c>
      <c r="P7">
        <f>ROUND(M7*N7*O7,2)</f>
        <v>0.89</v>
      </c>
    </row>
    <row r="8">
      <c r="A8" t="inlineStr">
        <is>
          <t>R50007</t>
        </is>
      </c>
      <c r="B8" t="inlineStr">
        <is>
          <t>Summit Corp</t>
        </is>
      </c>
      <c r="C8" t="inlineStr">
        <is>
          <t>Retail</t>
        </is>
      </c>
      <c r="D8" t="inlineStr">
        <is>
          <t>EMEA</t>
        </is>
      </c>
      <c r="E8" t="inlineStr">
        <is>
          <t>Personal Loan</t>
        </is>
      </c>
      <c r="F8" t="inlineStr">
        <is>
          <t>BB</t>
        </is>
      </c>
      <c r="G8" t="inlineStr">
        <is>
          <t>EG</t>
        </is>
      </c>
      <c r="H8" t="inlineStr">
        <is>
          <t>USD</t>
        </is>
      </c>
      <c r="I8" t="n">
        <v>1228076</v>
      </c>
      <c r="J8" t="n">
        <v>736846</v>
      </c>
      <c r="K8" s="1" t="n">
        <v>48024</v>
      </c>
      <c r="L8">
        <f>VLOOKUP(H8,FX!$A$2:$B$8,2,FALSE)</f>
        <v>1</v>
      </c>
      <c r="M8">
        <f>ROUND(I8*L8,2)</f>
        <v>1228076</v>
      </c>
      <c r="N8">
        <f>VLOOKUP(F8,Ratings!$A$2:$C$7,2,FALSE)</f>
        <v>0.04</v>
      </c>
      <c r="O8">
        <f>VLOOKUP(E8,Products!$A$2:$C$7,2,FALSE)</f>
        <v>0.45</v>
      </c>
      <c r="P8">
        <f>ROUND(M8*N8*O8,2)</f>
        <v>22105.37</v>
      </c>
    </row>
    <row r="9">
      <c r="A9" t="inlineStr">
        <is>
          <t>R50008</t>
        </is>
      </c>
      <c r="B9" t="inlineStr">
        <is>
          <t>Lumen Group</t>
        </is>
      </c>
      <c r="C9" t="inlineStr">
        <is>
          <t>Retail</t>
        </is>
      </c>
      <c r="D9" t="inlineStr">
        <is>
          <t>EMEA</t>
        </is>
      </c>
      <c r="E9" t="inlineStr">
        <is>
          <t>Mortgage</t>
        </is>
      </c>
      <c r="F9" t="inlineStr">
        <is>
          <t>A</t>
        </is>
      </c>
      <c r="G9" t="inlineStr">
        <is>
          <t>AE</t>
        </is>
      </c>
      <c r="H9" t="inlineStr">
        <is>
          <t>AED</t>
        </is>
      </c>
      <c r="I9" t="n">
        <v>1365530</v>
      </c>
      <c r="J9" t="n">
        <v>0</v>
      </c>
      <c r="K9" s="1" t="n">
        <v>46870</v>
      </c>
      <c r="L9">
        <f>VLOOKUP(H9,FX!$A$2:$B$8,2,FALSE)</f>
        <v>0.2723</v>
      </c>
      <c r="M9">
        <f>ROUND(I9*L9,2)</f>
        <v>371833.82</v>
      </c>
      <c r="N9">
        <f>VLOOKUP(F9,Ratings!$A$2:$C$7,2,FALSE)</f>
        <v>0.003</v>
      </c>
      <c r="O9">
        <f>VLOOKUP(E9,Products!$A$2:$C$7,2,FALSE)</f>
        <v>0.15</v>
      </c>
      <c r="P9">
        <f>ROUND(M9*N9*O9,2)</f>
        <v>167.33</v>
      </c>
    </row>
    <row r="10">
      <c r="A10" t="inlineStr">
        <is>
          <t>R50009</t>
        </is>
      </c>
      <c r="B10" t="inlineStr">
        <is>
          <t>Quartz Ltd</t>
        </is>
      </c>
      <c r="C10" t="inlineStr">
        <is>
          <t>Retail</t>
        </is>
      </c>
      <c r="D10" t="inlineStr">
        <is>
          <t>EMEA</t>
        </is>
      </c>
      <c r="E10" t="inlineStr">
        <is>
          <t>Credit Card</t>
        </is>
      </c>
      <c r="F10" t="inlineStr">
        <is>
          <t>BB</t>
        </is>
      </c>
      <c r="G10" t="inlineStr">
        <is>
          <t>FR</t>
        </is>
      </c>
      <c r="H10" t="inlineStr">
        <is>
          <t>EUR</t>
        </is>
      </c>
      <c r="I10" t="n">
        <v>5010</v>
      </c>
      <c r="J10" t="n">
        <v>0</v>
      </c>
      <c r="K10" s="1" t="n">
        <v>47880</v>
      </c>
      <c r="L10">
        <f>VLOOKUP(H10,FX!$A$2:$B$8,2,FALSE)</f>
        <v>1.08</v>
      </c>
      <c r="M10">
        <f>ROUND(I10*L10,2)</f>
        <v>5410.8</v>
      </c>
      <c r="N10">
        <f>VLOOKUP(F10,Ratings!$A$2:$C$7,2,FALSE)</f>
        <v>0.04</v>
      </c>
      <c r="O10">
        <f>VLOOKUP(E10,Products!$A$2:$C$7,2,FALSE)</f>
        <v>0.65</v>
      </c>
      <c r="P10">
        <f>ROUND(M10*N10*O10,2)</f>
        <v>140.68</v>
      </c>
    </row>
    <row r="11">
      <c r="A11" t="inlineStr">
        <is>
          <t>R50010</t>
        </is>
      </c>
      <c r="B11" t="inlineStr">
        <is>
          <t>Falcon Group</t>
        </is>
      </c>
      <c r="C11" t="inlineStr">
        <is>
          <t>Retail</t>
        </is>
      </c>
      <c r="D11" t="inlineStr">
        <is>
          <t>EMEA</t>
        </is>
      </c>
      <c r="E11" t="inlineStr">
        <is>
          <t>Credit Card</t>
        </is>
      </c>
      <c r="F11" t="inlineStr">
        <is>
          <t>BB</t>
        </is>
      </c>
      <c r="G11" t="inlineStr">
        <is>
          <t>UK</t>
        </is>
      </c>
      <c r="H11" t="inlineStr">
        <is>
          <t>GBP</t>
        </is>
      </c>
      <c r="I11" t="n">
        <v>90964</v>
      </c>
      <c r="J11" t="n">
        <v>0</v>
      </c>
      <c r="K11" s="1" t="n">
        <v>46639</v>
      </c>
      <c r="L11">
        <f>VLOOKUP(H11,FX!$A$2:$B$8,2,FALSE)</f>
        <v>1.27</v>
      </c>
      <c r="M11">
        <f>ROUND(I11*L11,2)</f>
        <v>115524.28</v>
      </c>
      <c r="N11">
        <f>VLOOKUP(F11,Ratings!$A$2:$C$7,2,FALSE)</f>
        <v>0.04</v>
      </c>
      <c r="O11">
        <f>VLOOKUP(E11,Products!$A$2:$C$7,2,FALSE)</f>
        <v>0.65</v>
      </c>
      <c r="P11">
        <f>ROUND(M11*N11*O11,2)</f>
        <v>3003.63</v>
      </c>
    </row>
    <row r="12">
      <c r="A12" t="inlineStr">
        <is>
          <t>R50011</t>
        </is>
      </c>
      <c r="B12" t="inlineStr">
        <is>
          <t>Falcon Holdings</t>
        </is>
      </c>
      <c r="C12" t="inlineStr">
        <is>
          <t>Retail</t>
        </is>
      </c>
      <c r="D12" t="inlineStr">
        <is>
          <t>EMEA</t>
        </is>
      </c>
      <c r="E12" t="inlineStr">
        <is>
          <t>Credit Card</t>
        </is>
      </c>
      <c r="F12" t="inlineStr">
        <is>
          <t>BB</t>
        </is>
      </c>
      <c r="G12" t="inlineStr">
        <is>
          <t>DE</t>
        </is>
      </c>
      <c r="H12" t="inlineStr">
        <is>
          <t>EUR</t>
        </is>
      </c>
      <c r="I12" t="n">
        <v>5068</v>
      </c>
      <c r="J12" t="n">
        <v>0</v>
      </c>
      <c r="K12" s="1" t="n">
        <v>46972</v>
      </c>
      <c r="L12">
        <f>VLOOKUP(H12,FX!$A$2:$B$8,2,FALSE)</f>
        <v>1.08</v>
      </c>
      <c r="M12">
        <f>ROUND(I12*L12,2)</f>
        <v>5473.44</v>
      </c>
      <c r="N12">
        <f>VLOOKUP(F12,Ratings!$A$2:$C$7,2,FALSE)</f>
        <v>0.04</v>
      </c>
      <c r="O12">
        <f>VLOOKUP(E12,Products!$A$2:$C$7,2,FALSE)</f>
        <v>0.65</v>
      </c>
      <c r="P12">
        <f>ROUND(M12*N12*O12,2)</f>
        <v>142.31</v>
      </c>
    </row>
    <row r="13">
      <c r="A13" t="inlineStr">
        <is>
          <t>R50012</t>
        </is>
      </c>
      <c r="B13" t="inlineStr">
        <is>
          <t>Falcon Ltd</t>
        </is>
      </c>
      <c r="C13" t="inlineStr">
        <is>
          <t>Retail</t>
        </is>
      </c>
      <c r="D13" t="inlineStr">
        <is>
          <t>EMEA</t>
        </is>
      </c>
      <c r="E13" t="inlineStr">
        <is>
          <t>Mortgage</t>
        </is>
      </c>
      <c r="F13" t="inlineStr">
        <is>
          <t>BBB</t>
        </is>
      </c>
      <c r="G13" t="inlineStr">
        <is>
          <t>UK</t>
        </is>
      </c>
      <c r="H13" t="inlineStr">
        <is>
          <t>GBP</t>
        </is>
      </c>
      <c r="I13" t="n">
        <v>16060</v>
      </c>
      <c r="J13" t="n">
        <v>4818</v>
      </c>
      <c r="K13" s="1" t="n">
        <v>46845</v>
      </c>
      <c r="L13">
        <f>VLOOKUP(H13,FX!$A$2:$B$8,2,FALSE)</f>
        <v>1.27</v>
      </c>
      <c r="M13">
        <f>ROUND(I13*L13,2)</f>
        <v>20396.2</v>
      </c>
      <c r="N13">
        <f>VLOOKUP(F13,Ratings!$A$2:$C$7,2,FALSE)</f>
        <v>0.01</v>
      </c>
      <c r="O13">
        <f>VLOOKUP(E13,Products!$A$2:$C$7,2,FALSE)</f>
        <v>0.15</v>
      </c>
      <c r="P13">
        <f>ROUND(M13*N13*O13,2)</f>
        <v>30.59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Country_Risk</t>
        </is>
      </c>
      <c r="O1" t="inlineStr">
        <is>
          <t>Risk_Weight</t>
        </is>
      </c>
      <c r="P1" t="inlineStr">
        <is>
          <t>RWA</t>
        </is>
      </c>
      <c r="Q1" t="inlineStr">
        <is>
          <t>Review_Flag</t>
        </is>
      </c>
    </row>
    <row r="2">
      <c r="A2" t="inlineStr">
        <is>
          <t>R51001</t>
        </is>
      </c>
      <c r="B2" t="inlineStr">
        <is>
          <t>Cedar Holdings</t>
        </is>
      </c>
      <c r="C2" t="inlineStr">
        <is>
          <t>Retail</t>
        </is>
      </c>
      <c r="D2" t="inlineStr">
        <is>
          <t>APAC</t>
        </is>
      </c>
      <c r="E2" t="inlineStr">
        <is>
          <t>Mortgage</t>
        </is>
      </c>
      <c r="F2" t="inlineStr">
        <is>
          <t>A</t>
        </is>
      </c>
      <c r="G2" t="inlineStr">
        <is>
          <t>JP</t>
        </is>
      </c>
      <c r="H2" t="inlineStr">
        <is>
          <t>JPY</t>
        </is>
      </c>
      <c r="I2" t="n">
        <v>111147</v>
      </c>
      <c r="J2" t="n">
        <v>0</v>
      </c>
      <c r="K2" s="1" t="n">
        <v>46396</v>
      </c>
      <c r="L2">
        <f>VLOOKUP(H2,FX!$A$2:$B$8,2,FALSE)</f>
        <v>0.0067</v>
      </c>
      <c r="M2">
        <f>ROUND(I2*L2,2)</f>
        <v>744.68</v>
      </c>
      <c r="N2" t="str">
        <f>VLOOKUP(G2,Countries!$A$2:$C$13,3,FALSE)</f>
        <v>Low</v>
      </c>
      <c r="O2">
        <f>VLOOKUP(F2,Ratings!$A$2:$C$7,3,FALSE)</f>
        <v>0.5</v>
      </c>
      <c r="P2">
        <f>ROUND(M2*O2,2)</f>
        <v>372.34</v>
      </c>
      <c r="Q2" t="str">
        <f>IF(N2="High","Review","OK")</f>
        <v>OK</v>
      </c>
    </row>
    <row r="3">
      <c r="A3" t="inlineStr">
        <is>
          <t>R51002</t>
        </is>
      </c>
      <c r="B3" t="inlineStr">
        <is>
          <t>Everest Holdings</t>
        </is>
      </c>
      <c r="C3" t="inlineStr">
        <is>
          <t>Retail</t>
        </is>
      </c>
      <c r="D3" t="inlineStr">
        <is>
          <t>APAC</t>
        </is>
      </c>
      <c r="E3" t="inlineStr">
        <is>
          <t>Mortgage</t>
        </is>
      </c>
      <c r="F3" t="inlineStr">
        <is>
          <t>AA</t>
        </is>
      </c>
      <c r="G3" t="inlineStr">
        <is>
          <t>IN</t>
        </is>
      </c>
      <c r="H3" t="inlineStr">
        <is>
          <t>INR</t>
        </is>
      </c>
      <c r="I3" t="n">
        <v>23232</v>
      </c>
      <c r="J3" t="n">
        <v>6970</v>
      </c>
      <c r="K3" s="1" t="n">
        <v>46665</v>
      </c>
      <c r="L3">
        <f>VLOOKUP(H3,FX!$A$2:$B$8,2,FALSE)</f>
        <v>0.012</v>
      </c>
      <c r="M3">
        <f>ROUND(I3*L3,2)</f>
        <v>278.78</v>
      </c>
      <c r="N3" t="str">
        <f>VLOOKUP(G3,Countries!$A$2:$C$13,3,FALSE)</f>
        <v>Medium</v>
      </c>
      <c r="O3">
        <f>VLOOKUP(F3,Ratings!$A$2:$C$7,3,FALSE)</f>
        <v>0.2</v>
      </c>
      <c r="P3">
        <f>ROUND(M3*O3,2)</f>
        <v>55.76</v>
      </c>
      <c r="Q3" t="str">
        <f>IF(N3="High","Review","OK")</f>
        <v>OK</v>
      </c>
    </row>
    <row r="4">
      <c r="A4" t="inlineStr">
        <is>
          <t>R51003</t>
        </is>
      </c>
      <c r="B4" t="inlineStr">
        <is>
          <t>Harbor Corp</t>
        </is>
      </c>
      <c r="C4" t="inlineStr">
        <is>
          <t>Retail</t>
        </is>
      </c>
      <c r="D4" t="inlineStr">
        <is>
          <t>APAC</t>
        </is>
      </c>
      <c r="E4" t="inlineStr">
        <is>
          <t>Personal Loan</t>
        </is>
      </c>
      <c r="F4" t="inlineStr">
        <is>
          <t>BBB</t>
        </is>
      </c>
      <c r="G4" t="inlineStr">
        <is>
          <t>IN</t>
        </is>
      </c>
      <c r="H4" t="inlineStr">
        <is>
          <t>INR</t>
        </is>
      </c>
      <c r="I4" t="n">
        <v>3977</v>
      </c>
      <c r="J4" t="n">
        <v>0</v>
      </c>
      <c r="K4" s="1" t="n">
        <v>48042</v>
      </c>
      <c r="L4">
        <f>VLOOKUP(H4,FX!$A$2:$B$8,2,FALSE)</f>
        <v>0.012</v>
      </c>
      <c r="M4">
        <f>ROUND(I4*L4,2)</f>
        <v>47.72</v>
      </c>
      <c r="N4" t="str">
        <f>VLOOKUP(G4,Countries!$A$2:$C$13,3,FALSE)</f>
        <v>Medium</v>
      </c>
      <c r="O4">
        <f>VLOOKUP(F4,Ratings!$A$2:$C$7,3,FALSE)</f>
        <v>1</v>
      </c>
      <c r="P4">
        <f>ROUND(M4*O4,2)</f>
        <v>47.72</v>
      </c>
      <c r="Q4" t="str">
        <f>IF(N4="High","Review","OK")</f>
        <v>OK</v>
      </c>
    </row>
    <row r="5">
      <c r="A5" t="inlineStr">
        <is>
          <t>R51004</t>
        </is>
      </c>
      <c r="B5" t="inlineStr">
        <is>
          <t>Meridian Holdings</t>
        </is>
      </c>
      <c r="C5" t="inlineStr">
        <is>
          <t>Retail</t>
        </is>
      </c>
      <c r="D5" t="inlineStr">
        <is>
          <t>APAC</t>
        </is>
      </c>
      <c r="E5" t="inlineStr">
        <is>
          <t>Personal Loan</t>
        </is>
      </c>
      <c r="F5" t="inlineStr">
        <is>
          <t>B</t>
        </is>
      </c>
      <c r="G5" t="inlineStr">
        <is>
          <t>ID</t>
        </is>
      </c>
      <c r="H5" t="inlineStr">
        <is>
          <t>USD</t>
        </is>
      </c>
      <c r="I5" t="n">
        <v>1507246</v>
      </c>
      <c r="J5" t="n">
        <v>452174</v>
      </c>
      <c r="K5" s="1" t="n">
        <v>48042</v>
      </c>
      <c r="L5">
        <f>VLOOKUP(H5,FX!$A$2:$B$8,2,FALSE)</f>
        <v>1</v>
      </c>
      <c r="M5">
        <f>ROUND(I5*L5,2)</f>
        <v>1507246</v>
      </c>
      <c r="N5" t="str">
        <f>VLOOKUP(G5,Countries!$A$2:$C$13,3,FALSE)</f>
        <v>High</v>
      </c>
      <c r="O5">
        <f>VLOOKUP(F5,Ratings!$A$2:$C$7,3,FALSE)</f>
        <v>1.5</v>
      </c>
      <c r="P5">
        <f>ROUND(M5*O5,2)</f>
        <v>2260869</v>
      </c>
      <c r="Q5" t="str">
        <f>IF(N5="High","Review","OK")</f>
        <v>Review</v>
      </c>
    </row>
    <row r="6">
      <c r="A6" t="inlineStr">
        <is>
          <t>R51005</t>
        </is>
      </c>
      <c r="B6" t="inlineStr">
        <is>
          <t>Summit Holdings</t>
        </is>
      </c>
      <c r="C6" t="inlineStr">
        <is>
          <t>Retail</t>
        </is>
      </c>
      <c r="D6" t="inlineStr">
        <is>
          <t>APAC</t>
        </is>
      </c>
      <c r="E6" t="inlineStr">
        <is>
          <t>Credit Card</t>
        </is>
      </c>
      <c r="F6" t="inlineStr">
        <is>
          <t>BBB</t>
        </is>
      </c>
      <c r="G6" t="inlineStr">
        <is>
          <t>IN</t>
        </is>
      </c>
      <c r="H6" t="inlineStr">
        <is>
          <t>INR</t>
        </is>
      </c>
      <c r="I6" t="n">
        <v>113867</v>
      </c>
      <c r="J6" t="n">
        <v>68320</v>
      </c>
      <c r="K6" s="1" t="n">
        <v>46849</v>
      </c>
      <c r="L6">
        <f>VLOOKUP(H6,FX!$A$2:$B$8,2,FALSE)</f>
        <v>0.012</v>
      </c>
      <c r="M6">
        <f>ROUND(I6*L6,2)</f>
        <v>1366.4</v>
      </c>
      <c r="N6" t="str">
        <f>VLOOKUP(G6,Countries!$A$2:$C$13,3,FALSE)</f>
        <v>Medium</v>
      </c>
      <c r="O6">
        <f>VLOOKUP(F6,Ratings!$A$2:$C$7,3,FALSE)</f>
        <v>1</v>
      </c>
      <c r="P6">
        <f>ROUND(M6*O6,2)</f>
        <v>1366.4</v>
      </c>
      <c r="Q6" t="str">
        <f>IF(N6="High","Review","OK")</f>
        <v>OK</v>
      </c>
    </row>
    <row r="7">
      <c r="A7" t="inlineStr">
        <is>
          <t>R51006</t>
        </is>
      </c>
      <c r="B7" t="inlineStr">
        <is>
          <t>Quartz Ltd</t>
        </is>
      </c>
      <c r="C7" t="inlineStr">
        <is>
          <t>Retail</t>
        </is>
      </c>
      <c r="D7" t="inlineStr">
        <is>
          <t>APAC</t>
        </is>
      </c>
      <c r="E7" t="inlineStr">
        <is>
          <t>Mortgage</t>
        </is>
      </c>
      <c r="F7" t="inlineStr">
        <is>
          <t>A</t>
        </is>
      </c>
      <c r="G7" t="inlineStr">
        <is>
          <t>ID</t>
        </is>
      </c>
      <c r="H7" t="inlineStr">
        <is>
          <t>USD</t>
        </is>
      </c>
      <c r="I7" t="n">
        <v>248240</v>
      </c>
      <c r="J7" t="n">
        <v>223416</v>
      </c>
      <c r="K7" s="1" t="n">
        <v>47932</v>
      </c>
      <c r="L7">
        <f>VLOOKUP(H7,FX!$A$2:$B$8,2,FALSE)</f>
        <v>1</v>
      </c>
      <c r="M7">
        <f>ROUND(I7*L7,2)</f>
        <v>248240</v>
      </c>
      <c r="N7" t="str">
        <f>VLOOKUP(G7,Countries!$A$2:$C$13,3,FALSE)</f>
        <v>High</v>
      </c>
      <c r="O7">
        <f>VLOOKUP(F7,Ratings!$A$2:$C$7,3,FALSE)</f>
        <v>0.5</v>
      </c>
      <c r="P7">
        <f>ROUND(M7*O7,2)</f>
        <v>124120</v>
      </c>
      <c r="Q7" t="str">
        <f>IF(N7="High","Review","OK")</f>
        <v>Review</v>
      </c>
    </row>
    <row r="8">
      <c r="A8" t="inlineStr">
        <is>
          <t>R51007</t>
        </is>
      </c>
      <c r="B8" t="inlineStr">
        <is>
          <t>Quartz Holdings</t>
        </is>
      </c>
      <c r="C8" t="inlineStr">
        <is>
          <t>Retail</t>
        </is>
      </c>
      <c r="D8" t="inlineStr">
        <is>
          <t>APAC</t>
        </is>
      </c>
      <c r="E8" t="inlineStr">
        <is>
          <t>Credit Card</t>
        </is>
      </c>
      <c r="F8" t="inlineStr">
        <is>
          <t>A</t>
        </is>
      </c>
      <c r="G8" t="inlineStr">
        <is>
          <t>IN</t>
        </is>
      </c>
      <c r="H8" t="inlineStr">
        <is>
          <t>INR</t>
        </is>
      </c>
      <c r="I8" t="n">
        <v>5159</v>
      </c>
      <c r="J8" t="n">
        <v>3095</v>
      </c>
      <c r="K8" s="1" t="n">
        <v>49299</v>
      </c>
      <c r="L8">
        <f>VLOOKUP(H8,FX!$A$2:$B$8,2,FALSE)</f>
        <v>0.012</v>
      </c>
      <c r="M8">
        <f>ROUND(I8*L8,2)</f>
        <v>61.91</v>
      </c>
      <c r="N8" t="str">
        <f>VLOOKUP(G8,Countries!$A$2:$C$13,3,FALSE)</f>
        <v>Medium</v>
      </c>
      <c r="O8">
        <f>VLOOKUP(F8,Ratings!$A$2:$C$7,3,FALSE)</f>
        <v>0.5</v>
      </c>
      <c r="P8">
        <f>ROUND(M8*O8,2)</f>
        <v>30.96</v>
      </c>
      <c r="Q8" t="str">
        <f>IF(N8="High","Review","OK")</f>
        <v>OK</v>
      </c>
    </row>
    <row r="9">
      <c r="A9" t="inlineStr">
        <is>
          <t>R51008</t>
        </is>
      </c>
      <c r="B9" t="inlineStr">
        <is>
          <t>Atlas Group</t>
        </is>
      </c>
      <c r="C9" t="inlineStr">
        <is>
          <t>Retail</t>
        </is>
      </c>
      <c r="D9" t="inlineStr">
        <is>
          <t>APAC</t>
        </is>
      </c>
      <c r="E9" t="inlineStr">
        <is>
          <t>Personal Loan</t>
        </is>
      </c>
      <c r="F9" t="inlineStr">
        <is>
          <t>AAA</t>
        </is>
      </c>
      <c r="G9" t="inlineStr">
        <is>
          <t>JP</t>
        </is>
      </c>
      <c r="H9" t="inlineStr">
        <is>
          <t>JPY</t>
        </is>
      </c>
      <c r="I9" t="n">
        <v>341797</v>
      </c>
      <c r="J9" t="n">
        <v>307617</v>
      </c>
      <c r="K9" s="1" t="n">
        <v>47738</v>
      </c>
      <c r="L9">
        <f>VLOOKUP(H9,FX!$A$2:$B$8,2,FALSE)</f>
        <v>0.0067</v>
      </c>
      <c r="M9">
        <f>ROUND(I9*L9,2)</f>
        <v>2290.04</v>
      </c>
      <c r="N9" t="str">
        <f>VLOOKUP(G9,Countries!$A$2:$C$13,3,FALSE)</f>
        <v>Low</v>
      </c>
      <c r="O9">
        <f>VLOOKUP(F9,Ratings!$A$2:$C$7,3,FALSE)</f>
        <v>0.2</v>
      </c>
      <c r="P9">
        <f>ROUND(M9*O9,2)</f>
        <v>458.01</v>
      </c>
      <c r="Q9" t="str">
        <f>IF(N9="High","Review","OK")</f>
        <v>OK</v>
      </c>
    </row>
    <row r="10">
      <c r="A10" t="inlineStr">
        <is>
          <t>R51009</t>
        </is>
      </c>
      <c r="B10" t="inlineStr">
        <is>
          <t>Pinnacle Holdings</t>
        </is>
      </c>
      <c r="C10" t="inlineStr">
        <is>
          <t>Retail</t>
        </is>
      </c>
      <c r="D10" t="inlineStr">
        <is>
          <t>APAC</t>
        </is>
      </c>
      <c r="E10" t="inlineStr">
        <is>
          <t>Credit Card</t>
        </is>
      </c>
      <c r="F10" t="inlineStr">
        <is>
          <t>A</t>
        </is>
      </c>
      <c r="G10" t="inlineStr">
        <is>
          <t>IN</t>
        </is>
      </c>
      <c r="H10" t="inlineStr">
        <is>
          <t>INR</t>
        </is>
      </c>
      <c r="I10" t="n">
        <v>6203</v>
      </c>
      <c r="J10" t="n">
        <v>0</v>
      </c>
      <c r="K10" s="1" t="n">
        <v>46547</v>
      </c>
      <c r="L10">
        <f>VLOOKUP(H10,FX!$A$2:$B$8,2,FALSE)</f>
        <v>0.012</v>
      </c>
      <c r="M10">
        <f>ROUND(I10*L10,2)</f>
        <v>74.44</v>
      </c>
      <c r="N10" t="str">
        <f>VLOOKUP(G10,Countries!$A$2:$C$13,3,FALSE)</f>
        <v>Medium</v>
      </c>
      <c r="O10">
        <f>VLOOKUP(F10,Ratings!$A$2:$C$7,3,FALSE)</f>
        <v>0.5</v>
      </c>
      <c r="P10">
        <f>ROUND(M10*O10,2)</f>
        <v>37.22</v>
      </c>
      <c r="Q10" t="str">
        <f>IF(N10="High","Review","OK")</f>
        <v>OK</v>
      </c>
    </row>
    <row r="11">
      <c r="A11" t="inlineStr">
        <is>
          <t>R51010</t>
        </is>
      </c>
      <c r="B11" t="inlineStr">
        <is>
          <t>Quartz Group</t>
        </is>
      </c>
      <c r="C11" t="inlineStr">
        <is>
          <t>Retail</t>
        </is>
      </c>
      <c r="D11" t="inlineStr">
        <is>
          <t>APAC</t>
        </is>
      </c>
      <c r="E11" t="inlineStr">
        <is>
          <t>Mortgage</t>
        </is>
      </c>
      <c r="F11" t="inlineStr">
        <is>
          <t>AAA</t>
        </is>
      </c>
      <c r="G11" t="inlineStr">
        <is>
          <t>JP</t>
        </is>
      </c>
      <c r="H11" t="inlineStr">
        <is>
          <t>JPY</t>
        </is>
      </c>
      <c r="I11" t="n">
        <v>3861</v>
      </c>
      <c r="J11" t="n">
        <v>3475</v>
      </c>
      <c r="K11" s="1" t="n">
        <v>47004</v>
      </c>
      <c r="L11">
        <f>VLOOKUP(H11,FX!$A$2:$B$8,2,FALSE)</f>
        <v>0.0067</v>
      </c>
      <c r="M11">
        <f>ROUND(I11*L11,2)</f>
        <v>25.87</v>
      </c>
      <c r="N11" t="str">
        <f>VLOOKUP(G11,Countries!$A$2:$C$13,3,FALSE)</f>
        <v>Low</v>
      </c>
      <c r="O11">
        <f>VLOOKUP(F11,Ratings!$A$2:$C$7,3,FALSE)</f>
        <v>0.2</v>
      </c>
      <c r="P11">
        <f>ROUND(M11*O11,2)</f>
        <v>5.17</v>
      </c>
      <c r="Q11" t="str">
        <f>IF(N11="High","Review","OK")</f>
        <v>OK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Haircut</t>
        </is>
      </c>
      <c r="O1" t="inlineStr">
        <is>
          <t>Net_Exposure</t>
        </is>
      </c>
      <c r="P1" t="inlineStr">
        <is>
          <t>Risk_Weight</t>
        </is>
      </c>
      <c r="Q1" t="inlineStr">
        <is>
          <t>RWA</t>
        </is>
      </c>
      <c r="R1" t="inlineStr">
        <is>
          <t>Years_To_Maturity</t>
        </is>
      </c>
      <c r="S1" t="inlineStr">
        <is>
          <t>Tenor_Bucket</t>
        </is>
      </c>
    </row>
    <row r="2">
      <c r="A2" t="inlineStr">
        <is>
          <t>C52001</t>
        </is>
      </c>
      <c r="B2" t="inlineStr">
        <is>
          <t>Falcon Corp</t>
        </is>
      </c>
      <c r="C2" t="inlineStr">
        <is>
          <t>Corporate</t>
        </is>
      </c>
      <c r="D2" t="inlineStr">
        <is>
          <t>APAC</t>
        </is>
      </c>
      <c r="E2" t="inlineStr">
        <is>
          <t>Term Loan</t>
        </is>
      </c>
      <c r="F2" t="inlineStr">
        <is>
          <t>B</t>
        </is>
      </c>
      <c r="G2" t="inlineStr">
        <is>
          <t>JP</t>
        </is>
      </c>
      <c r="H2" t="inlineStr">
        <is>
          <t>JPY</t>
        </is>
      </c>
      <c r="I2" t="n">
        <v>2090714</v>
      </c>
      <c r="J2" t="n">
        <v>1881643</v>
      </c>
      <c r="K2" s="1" t="n">
        <v>46712</v>
      </c>
      <c r="L2">
        <f>VLOOKUP(H2,FX!$A$2:$B$8,2,FALSE)</f>
        <v>0.0067</v>
      </c>
      <c r="M2">
        <f>ROUND(I2*L2,2)</f>
        <v>14007.78</v>
      </c>
      <c r="N2">
        <f>VLOOKUP(E2,Products!$A$2:$C$7,3,FALSE)</f>
        <v>0.1</v>
      </c>
      <c r="O2">
        <f>MAX(0,M2-J2*L2*(1-N2))</f>
        <v>2661.47271</v>
      </c>
      <c r="P2">
        <f>VLOOKUP(F2,Ratings!$A$2:$C$7,3,FALSE)</f>
        <v>1.5</v>
      </c>
      <c r="Q2">
        <f>ROUND(O2*P2,2)</f>
        <v>3992.21</v>
      </c>
      <c r="R2">
        <f>YEAR(K2)-2026</f>
        <v>1</v>
      </c>
      <c r="S2" t="str">
        <f>IF(R2&gt;=5,"Long",IF(R2&gt;=2,"Medium","Short"))</f>
        <v>Short</v>
      </c>
    </row>
    <row r="3">
      <c r="A3" t="inlineStr">
        <is>
          <t>C52002</t>
        </is>
      </c>
      <c r="B3" t="inlineStr">
        <is>
          <t>Redwood Holdings</t>
        </is>
      </c>
      <c r="C3" t="inlineStr">
        <is>
          <t>Corporate</t>
        </is>
      </c>
      <c r="D3" t="inlineStr">
        <is>
          <t>APAC</t>
        </is>
      </c>
      <c r="E3" t="inlineStr">
        <is>
          <t>Trade Finance</t>
        </is>
      </c>
      <c r="F3" t="inlineStr">
        <is>
          <t>BB</t>
        </is>
      </c>
      <c r="G3" t="inlineStr">
        <is>
          <t>IN</t>
        </is>
      </c>
      <c r="H3" t="inlineStr">
        <is>
          <t>INR</t>
        </is>
      </c>
      <c r="I3" t="n">
        <v>3148985</v>
      </c>
      <c r="J3" t="n">
        <v>0</v>
      </c>
      <c r="K3" s="1" t="n">
        <v>49078</v>
      </c>
      <c r="L3">
        <f>VLOOKUP(H3,FX!$A$2:$B$8,2,FALSE)</f>
        <v>0.012</v>
      </c>
      <c r="M3">
        <f>ROUND(I3*L3,2)</f>
        <v>37787.82</v>
      </c>
      <c r="N3">
        <f>VLOOKUP(E3,Products!$A$2:$C$7,3,FALSE)</f>
        <v>0.2</v>
      </c>
      <c r="O3">
        <f>MAX(0,M3-J3*L3*(1-N3))</f>
        <v>37787.82</v>
      </c>
      <c r="P3">
        <f>VLOOKUP(F3,Ratings!$A$2:$C$7,3,FALSE)</f>
        <v>1</v>
      </c>
      <c r="Q3">
        <f>ROUND(O3*P3,2)</f>
        <v>37787.82</v>
      </c>
      <c r="R3">
        <f>YEAR(K3)-2026</f>
        <v>8</v>
      </c>
      <c r="S3" t="str">
        <f>IF(R3&gt;=5,"Long",IF(R3&gt;=2,"Medium","Short"))</f>
        <v>Long</v>
      </c>
    </row>
    <row r="4">
      <c r="A4" t="inlineStr">
        <is>
          <t>C52003</t>
        </is>
      </c>
      <c r="B4" t="inlineStr">
        <is>
          <t>Lumen Ltd</t>
        </is>
      </c>
      <c r="C4" t="inlineStr">
        <is>
          <t>Corporate</t>
        </is>
      </c>
      <c r="D4" t="inlineStr">
        <is>
          <t>EMEA</t>
        </is>
      </c>
      <c r="E4" t="inlineStr">
        <is>
          <t>Revolver</t>
        </is>
      </c>
      <c r="F4" t="inlineStr">
        <is>
          <t>BB</t>
        </is>
      </c>
      <c r="G4" t="inlineStr">
        <is>
          <t>DE</t>
        </is>
      </c>
      <c r="H4" t="inlineStr">
        <is>
          <t>EUR</t>
        </is>
      </c>
      <c r="I4" t="n">
        <v>4855321</v>
      </c>
      <c r="J4" t="n">
        <v>0</v>
      </c>
      <c r="K4" s="1" t="n">
        <v>46394</v>
      </c>
      <c r="L4">
        <f>VLOOKUP(H4,FX!$A$2:$B$8,2,FALSE)</f>
        <v>1.08</v>
      </c>
      <c r="M4">
        <f>ROUND(I4*L4,2)</f>
        <v>5243746.68</v>
      </c>
      <c r="N4">
        <f>VLOOKUP(E4,Products!$A$2:$C$7,3,FALSE)</f>
        <v>0.15</v>
      </c>
      <c r="O4">
        <f>MAX(0,M4-J4*L4*(1-N4))</f>
        <v>5243746.68</v>
      </c>
      <c r="P4">
        <f>VLOOKUP(F4,Ratings!$A$2:$C$7,3,FALSE)</f>
        <v>1</v>
      </c>
      <c r="Q4">
        <f>ROUND(O4*P4,2)</f>
        <v>5243746.68</v>
      </c>
      <c r="R4">
        <f>YEAR(K4)-2026</f>
        <v>1</v>
      </c>
      <c r="S4" t="str">
        <f>IF(R4&gt;=5,"Long",IF(R4&gt;=2,"Medium","Short"))</f>
        <v>Short</v>
      </c>
    </row>
    <row r="5">
      <c r="A5" t="inlineStr">
        <is>
          <t>C52004</t>
        </is>
      </c>
      <c r="B5" t="inlineStr">
        <is>
          <t>Redwood Holdings</t>
        </is>
      </c>
      <c r="C5" t="inlineStr">
        <is>
          <t>Corporate</t>
        </is>
      </c>
      <c r="D5" t="inlineStr">
        <is>
          <t>EMEA</t>
        </is>
      </c>
      <c r="E5" t="inlineStr">
        <is>
          <t>Revolver</t>
        </is>
      </c>
      <c r="F5" t="inlineStr">
        <is>
          <t>B</t>
        </is>
      </c>
      <c r="G5" t="inlineStr">
        <is>
          <t>FR</t>
        </is>
      </c>
      <c r="H5" t="inlineStr">
        <is>
          <t>EUR</t>
        </is>
      </c>
      <c r="I5" t="n">
        <v>917155</v>
      </c>
      <c r="J5" t="n">
        <v>825440</v>
      </c>
      <c r="K5" s="1" t="n">
        <v>46824</v>
      </c>
      <c r="L5">
        <f>VLOOKUP(H5,FX!$A$2:$B$8,2,FALSE)</f>
        <v>1.08</v>
      </c>
      <c r="M5">
        <f>ROUND(I5*L5,2)</f>
        <v>990527.4</v>
      </c>
      <c r="N5">
        <f>VLOOKUP(E5,Products!$A$2:$C$7,3,FALSE)</f>
        <v>0.15</v>
      </c>
      <c r="O5">
        <f>MAX(0,M5-J5*L5*(1-N5))</f>
        <v>232773.47999999998</v>
      </c>
      <c r="P5">
        <f>VLOOKUP(F5,Ratings!$A$2:$C$7,3,FALSE)</f>
        <v>1.5</v>
      </c>
      <c r="Q5">
        <f>ROUND(O5*P5,2)</f>
        <v>349160.22</v>
      </c>
      <c r="R5">
        <f>YEAR(K5)-2026</f>
        <v>2</v>
      </c>
      <c r="S5" t="str">
        <f>IF(R5&gt;=5,"Long",IF(R5&gt;=2,"Medium","Short"))</f>
        <v>Medium</v>
      </c>
    </row>
    <row r="6">
      <c r="A6" t="inlineStr">
        <is>
          <t>C52005</t>
        </is>
      </c>
      <c r="B6" t="inlineStr">
        <is>
          <t>Everest Corp</t>
        </is>
      </c>
      <c r="C6" t="inlineStr">
        <is>
          <t>Corporate</t>
        </is>
      </c>
      <c r="D6" t="inlineStr">
        <is>
          <t>AMER</t>
        </is>
      </c>
      <c r="E6" t="inlineStr">
        <is>
          <t>Term Loan</t>
        </is>
      </c>
      <c r="F6" t="inlineStr">
        <is>
          <t>B</t>
        </is>
      </c>
      <c r="G6" t="inlineStr">
        <is>
          <t>BR</t>
        </is>
      </c>
      <c r="H6" t="inlineStr">
        <is>
          <t>USD</t>
        </is>
      </c>
      <c r="I6" t="n">
        <v>2995161</v>
      </c>
      <c r="J6" t="n">
        <v>0</v>
      </c>
      <c r="K6" s="1" t="n">
        <v>47030</v>
      </c>
      <c r="L6">
        <f>VLOOKUP(H6,FX!$A$2:$B$8,2,FALSE)</f>
        <v>1</v>
      </c>
      <c r="M6">
        <f>ROUND(I6*L6,2)</f>
        <v>2995161</v>
      </c>
      <c r="N6">
        <f>VLOOKUP(E6,Products!$A$2:$C$7,3,FALSE)</f>
        <v>0.1</v>
      </c>
      <c r="O6">
        <f>MAX(0,M6-J6*L6*(1-N6))</f>
        <v>2995161</v>
      </c>
      <c r="P6">
        <f>VLOOKUP(F6,Ratings!$A$2:$C$7,3,FALSE)</f>
        <v>1.5</v>
      </c>
      <c r="Q6">
        <f>ROUND(O6*P6,2)</f>
        <v>4492741.5</v>
      </c>
      <c r="R6">
        <f>YEAR(K6)-2026</f>
        <v>2</v>
      </c>
      <c r="S6" t="str">
        <f>IF(R6&gt;=5,"Long",IF(R6&gt;=2,"Medium","Short"))</f>
        <v>Medium</v>
      </c>
    </row>
    <row r="7">
      <c r="A7" t="inlineStr">
        <is>
          <t>C52006</t>
        </is>
      </c>
      <c r="B7" t="inlineStr">
        <is>
          <t>Indigo Ltd</t>
        </is>
      </c>
      <c r="C7" t="inlineStr">
        <is>
          <t>Corporate</t>
        </is>
      </c>
      <c r="D7" t="inlineStr">
        <is>
          <t>EMEA</t>
        </is>
      </c>
      <c r="E7" t="inlineStr">
        <is>
          <t>Revolver</t>
        </is>
      </c>
      <c r="F7" t="inlineStr">
        <is>
          <t>AAA</t>
        </is>
      </c>
      <c r="G7" t="inlineStr">
        <is>
          <t>UK</t>
        </is>
      </c>
      <c r="H7" t="inlineStr">
        <is>
          <t>GBP</t>
        </is>
      </c>
      <c r="I7" t="n">
        <v>1777772</v>
      </c>
      <c r="J7" t="n">
        <v>1599995</v>
      </c>
      <c r="K7" s="1" t="n">
        <v>46986</v>
      </c>
      <c r="L7">
        <f>VLOOKUP(H7,FX!$A$2:$B$8,2,FALSE)</f>
        <v>1.27</v>
      </c>
      <c r="M7">
        <f>ROUND(I7*L7,2)</f>
        <v>2257770.44</v>
      </c>
      <c r="N7">
        <f>VLOOKUP(E7,Products!$A$2:$C$7,3,FALSE)</f>
        <v>0.15</v>
      </c>
      <c r="O7">
        <f>MAX(0,M7-J7*L7*(1-N7))</f>
        <v>530575.8374999999</v>
      </c>
      <c r="P7">
        <f>VLOOKUP(F7,Ratings!$A$2:$C$7,3,FALSE)</f>
        <v>0.2</v>
      </c>
      <c r="Q7">
        <f>ROUND(O7*P7,2)</f>
        <v>106115.17</v>
      </c>
      <c r="R7">
        <f>YEAR(K7)-2026</f>
        <v>2</v>
      </c>
      <c r="S7" t="str">
        <f>IF(R7&gt;=5,"Long",IF(R7&gt;=2,"Medium","Short"))</f>
        <v>Medium</v>
      </c>
    </row>
    <row r="8">
      <c r="A8" t="inlineStr">
        <is>
          <t>C52007</t>
        </is>
      </c>
      <c r="B8" t="inlineStr">
        <is>
          <t>Everest Holdings</t>
        </is>
      </c>
      <c r="C8" t="inlineStr">
        <is>
          <t>Corporate</t>
        </is>
      </c>
      <c r="D8" t="inlineStr">
        <is>
          <t>APAC</t>
        </is>
      </c>
      <c r="E8" t="inlineStr">
        <is>
          <t>Term Loan</t>
        </is>
      </c>
      <c r="F8" t="inlineStr">
        <is>
          <t>A</t>
        </is>
      </c>
      <c r="G8" t="inlineStr">
        <is>
          <t>SG</t>
        </is>
      </c>
      <c r="H8" t="inlineStr">
        <is>
          <t>SGD</t>
        </is>
      </c>
      <c r="I8" t="n">
        <v>627779</v>
      </c>
      <c r="J8" t="n">
        <v>0</v>
      </c>
      <c r="K8" s="1" t="n">
        <v>46885</v>
      </c>
      <c r="L8">
        <f>VLOOKUP(H8,FX!$A$2:$B$8,2,FALSE)</f>
        <v>0.74</v>
      </c>
      <c r="M8">
        <f>ROUND(I8*L8,2)</f>
        <v>464556.46</v>
      </c>
      <c r="N8">
        <f>VLOOKUP(E8,Products!$A$2:$C$7,3,FALSE)</f>
        <v>0.1</v>
      </c>
      <c r="O8">
        <f>MAX(0,M8-J8*L8*(1-N8))</f>
        <v>464556.46</v>
      </c>
      <c r="P8">
        <f>VLOOKUP(F8,Ratings!$A$2:$C$7,3,FALSE)</f>
        <v>0.5</v>
      </c>
      <c r="Q8">
        <f>ROUND(O8*P8,2)</f>
        <v>232278.23</v>
      </c>
      <c r="R8">
        <f>YEAR(K8)-2026</f>
        <v>2</v>
      </c>
      <c r="S8" t="str">
        <f>IF(R8&gt;=5,"Long",IF(R8&gt;=2,"Medium","Short"))</f>
        <v>Medium</v>
      </c>
    </row>
    <row r="9">
      <c r="A9" t="inlineStr">
        <is>
          <t>C52008</t>
        </is>
      </c>
      <c r="B9" t="inlineStr">
        <is>
          <t>Cedar Ltd</t>
        </is>
      </c>
      <c r="C9" t="inlineStr">
        <is>
          <t>Corporate</t>
        </is>
      </c>
      <c r="D9" t="inlineStr">
        <is>
          <t>AMER</t>
        </is>
      </c>
      <c r="E9" t="inlineStr">
        <is>
          <t>Term Loan</t>
        </is>
      </c>
      <c r="F9" t="inlineStr">
        <is>
          <t>A</t>
        </is>
      </c>
      <c r="G9" t="inlineStr">
        <is>
          <t>BR</t>
        </is>
      </c>
      <c r="H9" t="inlineStr">
        <is>
          <t>USD</t>
        </is>
      </c>
      <c r="I9" t="n">
        <v>2500413</v>
      </c>
      <c r="J9" t="n">
        <v>750124</v>
      </c>
      <c r="K9" s="1" t="n">
        <v>48196</v>
      </c>
      <c r="L9">
        <f>VLOOKUP(H9,FX!$A$2:$B$8,2,FALSE)</f>
        <v>1</v>
      </c>
      <c r="M9">
        <f>ROUND(I9*L9,2)</f>
        <v>2500413</v>
      </c>
      <c r="N9">
        <f>VLOOKUP(E9,Products!$A$2:$C$7,3,FALSE)</f>
        <v>0.1</v>
      </c>
      <c r="O9">
        <f>MAX(0,M9-J9*L9*(1-N9))</f>
        <v>1825301.4</v>
      </c>
      <c r="P9">
        <f>VLOOKUP(F9,Ratings!$A$2:$C$7,3,FALSE)</f>
        <v>0.5</v>
      </c>
      <c r="Q9">
        <f>ROUND(O9*P9,2)</f>
        <v>912650.7</v>
      </c>
      <c r="R9">
        <f>YEAR(K9)-2026</f>
        <v>5</v>
      </c>
      <c r="S9" t="str">
        <f>IF(R9&gt;=5,"Long",IF(R9&gt;=2,"Medium","Short"))</f>
        <v>Long</v>
      </c>
    </row>
    <row r="10">
      <c r="A10" t="inlineStr">
        <is>
          <t>C52009</t>
        </is>
      </c>
      <c r="B10" t="inlineStr">
        <is>
          <t>Everest Ltd</t>
        </is>
      </c>
      <c r="C10" t="inlineStr">
        <is>
          <t>Corporate</t>
        </is>
      </c>
      <c r="D10" t="inlineStr">
        <is>
          <t>EMEA</t>
        </is>
      </c>
      <c r="E10" t="inlineStr">
        <is>
          <t>Term Loan</t>
        </is>
      </c>
      <c r="F10" t="inlineStr">
        <is>
          <t>AAA</t>
        </is>
      </c>
      <c r="G10" t="inlineStr">
        <is>
          <t>UK</t>
        </is>
      </c>
      <c r="H10" t="inlineStr">
        <is>
          <t>GBP</t>
        </is>
      </c>
      <c r="I10" t="n">
        <v>2785670</v>
      </c>
      <c r="J10" t="n">
        <v>0</v>
      </c>
      <c r="K10" s="1" t="n">
        <v>49292</v>
      </c>
      <c r="L10">
        <f>VLOOKUP(H10,FX!$A$2:$B$8,2,FALSE)</f>
        <v>1.27</v>
      </c>
      <c r="M10">
        <f>ROUND(I10*L10,2)</f>
        <v>3537800.9</v>
      </c>
      <c r="N10">
        <f>VLOOKUP(E10,Products!$A$2:$C$7,3,FALSE)</f>
        <v>0.1</v>
      </c>
      <c r="O10">
        <f>MAX(0,M10-J10*L10*(1-N10))</f>
        <v>3537800.9</v>
      </c>
      <c r="P10">
        <f>VLOOKUP(F10,Ratings!$A$2:$C$7,3,FALSE)</f>
        <v>0.2</v>
      </c>
      <c r="Q10">
        <f>ROUND(O10*P10,2)</f>
        <v>707560.18</v>
      </c>
      <c r="R10">
        <f>YEAR(K10)-2026</f>
        <v>8</v>
      </c>
      <c r="S10" t="str">
        <f>IF(R10&gt;=5,"Long",IF(R10&gt;=2,"Medium","Short"))</f>
        <v>Long</v>
      </c>
    </row>
    <row r="11">
      <c r="A11" t="inlineStr">
        <is>
          <t>C52010</t>
        </is>
      </c>
      <c r="B11" t="inlineStr">
        <is>
          <t>Cedar Holdings</t>
        </is>
      </c>
      <c r="C11" t="inlineStr">
        <is>
          <t>Corporate</t>
        </is>
      </c>
      <c r="D11" t="inlineStr">
        <is>
          <t>EMEA</t>
        </is>
      </c>
      <c r="E11" t="inlineStr">
        <is>
          <t>Revolver</t>
        </is>
      </c>
      <c r="F11" t="inlineStr">
        <is>
          <t>AA</t>
        </is>
      </c>
      <c r="G11" t="inlineStr">
        <is>
          <t>EG</t>
        </is>
      </c>
      <c r="H11" t="inlineStr">
        <is>
          <t>USD</t>
        </is>
      </c>
      <c r="I11" t="n">
        <v>2028043</v>
      </c>
      <c r="J11" t="n">
        <v>1216826</v>
      </c>
      <c r="K11" s="1" t="n">
        <v>46661</v>
      </c>
      <c r="L11">
        <f>VLOOKUP(H11,FX!$A$2:$B$8,2,FALSE)</f>
        <v>1</v>
      </c>
      <c r="M11">
        <f>ROUND(I11*L11,2)</f>
        <v>2028043</v>
      </c>
      <c r="N11">
        <f>VLOOKUP(E11,Products!$A$2:$C$7,3,FALSE)</f>
        <v>0.15</v>
      </c>
      <c r="O11">
        <f>MAX(0,M11-J11*L11*(1-N11))</f>
        <v>993740.9</v>
      </c>
      <c r="P11">
        <f>VLOOKUP(F11,Ratings!$A$2:$C$7,3,FALSE)</f>
        <v>0.2</v>
      </c>
      <c r="Q11">
        <f>ROUND(O11*P11,2)</f>
        <v>198748.18</v>
      </c>
      <c r="R11">
        <f>YEAR(K11)-2026</f>
        <v>1</v>
      </c>
      <c r="S11" t="str">
        <f>IF(R11&gt;=5,"Long",IF(R11&gt;=2,"Medium","Short"))</f>
        <v>Short</v>
      </c>
    </row>
    <row r="12">
      <c r="A12" t="inlineStr">
        <is>
          <t>C52011</t>
        </is>
      </c>
      <c r="B12" t="inlineStr">
        <is>
          <t>Falcon Group</t>
        </is>
      </c>
      <c r="C12" t="inlineStr">
        <is>
          <t>Corporate</t>
        </is>
      </c>
      <c r="D12" t="inlineStr">
        <is>
          <t>APAC</t>
        </is>
      </c>
      <c r="E12" t="inlineStr">
        <is>
          <t>Trade Finance</t>
        </is>
      </c>
      <c r="F12" t="inlineStr">
        <is>
          <t>AA</t>
        </is>
      </c>
      <c r="G12" t="inlineStr">
        <is>
          <t>SG</t>
        </is>
      </c>
      <c r="H12" t="inlineStr">
        <is>
          <t>SGD</t>
        </is>
      </c>
      <c r="I12" t="n">
        <v>1596180</v>
      </c>
      <c r="J12" t="n">
        <v>0</v>
      </c>
      <c r="K12" s="1" t="n">
        <v>48167</v>
      </c>
      <c r="L12">
        <f>VLOOKUP(H12,FX!$A$2:$B$8,2,FALSE)</f>
        <v>0.74</v>
      </c>
      <c r="M12">
        <f>ROUND(I12*L12,2)</f>
        <v>1181173.2</v>
      </c>
      <c r="N12">
        <f>VLOOKUP(E12,Products!$A$2:$C$7,3,FALSE)</f>
        <v>0.2</v>
      </c>
      <c r="O12">
        <f>MAX(0,M12-J12*L12*(1-N12))</f>
        <v>1181173.2</v>
      </c>
      <c r="P12">
        <f>VLOOKUP(F12,Ratings!$A$2:$C$7,3,FALSE)</f>
        <v>0.2</v>
      </c>
      <c r="Q12">
        <f>ROUND(O12*P12,2)</f>
        <v>236234.64</v>
      </c>
      <c r="R12">
        <f>YEAR(K12)-2026</f>
        <v>5</v>
      </c>
      <c r="S12" t="str">
        <f>IF(R12&gt;=5,"Long",IF(R12&gt;=2,"Medium","Short"))</f>
        <v>Long</v>
      </c>
    </row>
    <row r="13">
      <c r="A13" t="inlineStr">
        <is>
          <t>C52012</t>
        </is>
      </c>
      <c r="B13" t="inlineStr">
        <is>
          <t>Orion Group</t>
        </is>
      </c>
      <c r="C13" t="inlineStr">
        <is>
          <t>Corporate</t>
        </is>
      </c>
      <c r="D13" t="inlineStr">
        <is>
          <t>APAC</t>
        </is>
      </c>
      <c r="E13" t="inlineStr">
        <is>
          <t>Term Loan</t>
        </is>
      </c>
      <c r="F13" t="inlineStr">
        <is>
          <t>BBB</t>
        </is>
      </c>
      <c r="G13" t="inlineStr">
        <is>
          <t>JP</t>
        </is>
      </c>
      <c r="H13" t="inlineStr">
        <is>
          <t>JPY</t>
        </is>
      </c>
      <c r="I13" t="n">
        <v>9013501</v>
      </c>
      <c r="J13" t="n">
        <v>0</v>
      </c>
      <c r="K13" s="1" t="n">
        <v>49228</v>
      </c>
      <c r="L13">
        <f>VLOOKUP(H13,FX!$A$2:$B$8,2,FALSE)</f>
        <v>0.0067</v>
      </c>
      <c r="M13">
        <f>ROUND(I13*L13,2)</f>
        <v>60390.46</v>
      </c>
      <c r="N13">
        <f>VLOOKUP(E13,Products!$A$2:$C$7,3,FALSE)</f>
        <v>0.1</v>
      </c>
      <c r="O13">
        <f>MAX(0,M13-J13*L13*(1-N13))</f>
        <v>60390.46</v>
      </c>
      <c r="P13">
        <f>VLOOKUP(F13,Ratings!$A$2:$C$7,3,FALSE)</f>
        <v>1</v>
      </c>
      <c r="Q13">
        <f>ROUND(O13*P13,2)</f>
        <v>60390.46</v>
      </c>
      <c r="R13">
        <f>YEAR(K13)-2026</f>
        <v>8</v>
      </c>
      <c r="S13" t="str">
        <f>IF(R13&gt;=5,"Long",IF(R13&gt;=2,"Medium","Short"))</f>
        <v>Long</v>
      </c>
    </row>
    <row r="14">
      <c r="A14" t="inlineStr">
        <is>
          <t>C52013</t>
        </is>
      </c>
      <c r="B14" t="inlineStr">
        <is>
          <t>Quartz Holdings</t>
        </is>
      </c>
      <c r="C14" t="inlineStr">
        <is>
          <t>Corporate</t>
        </is>
      </c>
      <c r="D14" t="inlineStr">
        <is>
          <t>APAC</t>
        </is>
      </c>
      <c r="E14" t="inlineStr">
        <is>
          <t>Revolver</t>
        </is>
      </c>
      <c r="F14" t="inlineStr">
        <is>
          <t>BB</t>
        </is>
      </c>
      <c r="G14" t="inlineStr">
        <is>
          <t>JP</t>
        </is>
      </c>
      <c r="H14" t="inlineStr">
        <is>
          <t>JPY</t>
        </is>
      </c>
      <c r="I14" t="n">
        <v>4221914</v>
      </c>
      <c r="J14" t="n">
        <v>0</v>
      </c>
      <c r="K14" s="1" t="n">
        <v>47837</v>
      </c>
      <c r="L14">
        <f>VLOOKUP(H14,FX!$A$2:$B$8,2,FALSE)</f>
        <v>0.0067</v>
      </c>
      <c r="M14">
        <f>ROUND(I14*L14,2)</f>
        <v>28286.82</v>
      </c>
      <c r="N14">
        <f>VLOOKUP(E14,Products!$A$2:$C$7,3,FALSE)</f>
        <v>0.15</v>
      </c>
      <c r="O14">
        <f>MAX(0,M14-J14*L14*(1-N14))</f>
        <v>28286.82</v>
      </c>
      <c r="P14">
        <f>VLOOKUP(F14,Ratings!$A$2:$C$7,3,FALSE)</f>
        <v>1</v>
      </c>
      <c r="Q14">
        <f>ROUND(O14*P14,2)</f>
        <v>28286.82</v>
      </c>
      <c r="R14">
        <f>YEAR(K14)-2026</f>
        <v>4</v>
      </c>
      <c r="S14" t="str">
        <f>IF(R14&gt;=5,"Long",IF(R14&gt;=2,"Medium","Short"))</f>
        <v>Medium</v>
      </c>
    </row>
    <row r="15">
      <c r="A15" t="inlineStr">
        <is>
          <t>C52014</t>
        </is>
      </c>
      <c r="B15" t="inlineStr">
        <is>
          <t>Juniper Group</t>
        </is>
      </c>
      <c r="C15" t="inlineStr">
        <is>
          <t>Corporate</t>
        </is>
      </c>
      <c r="D15" t="inlineStr">
        <is>
          <t>AMER</t>
        </is>
      </c>
      <c r="E15" t="inlineStr">
        <is>
          <t>Revolver</t>
        </is>
      </c>
      <c r="F15" t="inlineStr">
        <is>
          <t>BBB</t>
        </is>
      </c>
      <c r="G15" t="inlineStr">
        <is>
          <t>BR</t>
        </is>
      </c>
      <c r="H15" t="inlineStr">
        <is>
          <t>USD</t>
        </is>
      </c>
      <c r="I15" t="n">
        <v>7223688</v>
      </c>
      <c r="J15" t="n">
        <v>4334213</v>
      </c>
      <c r="K15" s="1" t="n">
        <v>49260</v>
      </c>
      <c r="L15">
        <f>VLOOKUP(H15,FX!$A$2:$B$8,2,FALSE)</f>
        <v>1</v>
      </c>
      <c r="M15">
        <f>ROUND(I15*L15,2)</f>
        <v>7223688</v>
      </c>
      <c r="N15">
        <f>VLOOKUP(E15,Products!$A$2:$C$7,3,FALSE)</f>
        <v>0.15</v>
      </c>
      <c r="O15">
        <f>MAX(0,M15-J15*L15*(1-N15))</f>
        <v>3539606.95</v>
      </c>
      <c r="P15">
        <f>VLOOKUP(F15,Ratings!$A$2:$C$7,3,FALSE)</f>
        <v>1</v>
      </c>
      <c r="Q15">
        <f>ROUND(O15*P15,2)</f>
        <v>3539606.95</v>
      </c>
      <c r="R15">
        <f>YEAR(K15)-2026</f>
        <v>8</v>
      </c>
      <c r="S15" t="str">
        <f>IF(R15&gt;=5,"Long",IF(R15&gt;=2,"Medium","Short"))</f>
        <v>Long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</t>
        </is>
      </c>
      <c r="C1" t="inlineStr">
        <is>
          <t>Segment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Country</t>
        </is>
      </c>
      <c r="H1" t="inlineStr">
        <is>
          <t>Currency</t>
        </is>
      </c>
      <c r="I1" t="inlineStr">
        <is>
          <t>Exposure</t>
        </is>
      </c>
      <c r="J1" t="inlineStr">
        <is>
          <t>Collateral</t>
        </is>
      </c>
      <c r="K1" t="inlineStr">
        <is>
          <t>Maturity</t>
        </is>
      </c>
      <c r="L1" t="inlineStr">
        <is>
          <t>FX_Rate</t>
        </is>
      </c>
      <c r="M1" t="inlineStr">
        <is>
          <t>Exposure_USD</t>
        </is>
      </c>
      <c r="N1" t="inlineStr">
        <is>
          <t>Risk_Weight</t>
        </is>
      </c>
      <c r="O1" t="inlineStr">
        <is>
          <t>SME_Factor</t>
        </is>
      </c>
      <c r="P1" t="inlineStr">
        <is>
          <t>RWA</t>
        </is>
      </c>
      <c r="Q1" t="inlineStr">
        <is>
          <t>Capital_Required</t>
        </is>
      </c>
      <c r="R1" t="inlineStr">
        <is>
          <t>Label</t>
        </is>
      </c>
    </row>
    <row r="2">
      <c r="A2" t="inlineStr">
        <is>
          <t>S53001</t>
        </is>
      </c>
      <c r="B2" t="inlineStr">
        <is>
          <t>Borealis Corp</t>
        </is>
      </c>
      <c r="C2" t="inlineStr">
        <is>
          <t>SME</t>
        </is>
      </c>
      <c r="D2" t="inlineStr">
        <is>
          <t>AMER</t>
        </is>
      </c>
      <c r="E2" t="inlineStr">
        <is>
          <t>Personal Loan</t>
        </is>
      </c>
      <c r="F2" t="inlineStr">
        <is>
          <t>BB</t>
        </is>
      </c>
      <c r="G2" t="inlineStr">
        <is>
          <t>CA</t>
        </is>
      </c>
      <c r="H2" t="inlineStr">
        <is>
          <t>USD</t>
        </is>
      </c>
      <c r="I2" t="n">
        <v>258828</v>
      </c>
      <c r="J2" t="n">
        <v>0</v>
      </c>
      <c r="K2" s="1" t="n">
        <v>46715</v>
      </c>
      <c r="L2">
        <f>VLOOKUP(H2,FX!$A$2:$B$8,2,FALSE)</f>
        <v>1</v>
      </c>
      <c r="M2">
        <f>ROUND(I2*L2,2)</f>
        <v>258828</v>
      </c>
      <c r="N2">
        <f>VLOOKUP(F2,Ratings!$A$2:$C$7,3,FALSE)</f>
        <v>1</v>
      </c>
      <c r="O2">
        <f>IF(M2&lt;=1000000,0.7619,1)</f>
        <v>0.7619</v>
      </c>
      <c r="P2">
        <f>ROUND(M2*N2*O2,2)</f>
        <v>197201.05</v>
      </c>
      <c r="Q2">
        <f>ROUND(P2*0.08,2)</f>
        <v>15776.08</v>
      </c>
      <c r="R2" t="str">
        <f>B2&amp;"-"&amp;G2</f>
        <v>Borealis Corp-CA</v>
      </c>
    </row>
    <row r="3">
      <c r="A3" t="inlineStr">
        <is>
          <t>S53002</t>
        </is>
      </c>
      <c r="B3" t="inlineStr">
        <is>
          <t>Orion Group</t>
        </is>
      </c>
      <c r="C3" t="inlineStr">
        <is>
          <t>SME</t>
        </is>
      </c>
      <c r="D3" t="inlineStr">
        <is>
          <t>EMEA</t>
        </is>
      </c>
      <c r="E3" t="inlineStr">
        <is>
          <t>Term Loan</t>
        </is>
      </c>
      <c r="F3" t="inlineStr">
        <is>
          <t>BBB</t>
        </is>
      </c>
      <c r="G3" t="inlineStr">
        <is>
          <t>EG</t>
        </is>
      </c>
      <c r="H3" t="inlineStr">
        <is>
          <t>USD</t>
        </is>
      </c>
      <c r="I3" t="n">
        <v>264562</v>
      </c>
      <c r="J3" t="n">
        <v>0</v>
      </c>
      <c r="K3" s="1" t="n">
        <v>46667</v>
      </c>
      <c r="L3">
        <f>VLOOKUP(H3,FX!$A$2:$B$8,2,FALSE)</f>
        <v>1</v>
      </c>
      <c r="M3">
        <f>ROUND(I3*L3,2)</f>
        <v>264562</v>
      </c>
      <c r="N3">
        <f>VLOOKUP(F3,Ratings!$A$2:$C$7,3,FALSE)</f>
        <v>1</v>
      </c>
      <c r="O3">
        <f>IF(M3&lt;=1000000,0.7619,1)</f>
        <v>0.7619</v>
      </c>
      <c r="P3">
        <f>ROUND(M3*N3*O3,2)</f>
        <v>201569.79</v>
      </c>
      <c r="Q3">
        <f>ROUND(P3*0.08,2)</f>
        <v>16125.58</v>
      </c>
      <c r="R3" t="str">
        <f>B3&amp;"-"&amp;G3</f>
        <v>Orion Group-EG</v>
      </c>
    </row>
    <row r="4">
      <c r="A4" t="inlineStr">
        <is>
          <t>S53003</t>
        </is>
      </c>
      <c r="B4" t="inlineStr">
        <is>
          <t>Summit Holdings</t>
        </is>
      </c>
      <c r="C4" t="inlineStr">
        <is>
          <t>SME</t>
        </is>
      </c>
      <c r="D4" t="inlineStr">
        <is>
          <t>APAC</t>
        </is>
      </c>
      <c r="E4" t="inlineStr">
        <is>
          <t>Personal Loan</t>
        </is>
      </c>
      <c r="F4" t="inlineStr">
        <is>
          <t>AAA</t>
        </is>
      </c>
      <c r="G4" t="inlineStr">
        <is>
          <t>JP</t>
        </is>
      </c>
      <c r="H4" t="inlineStr">
        <is>
          <t>JPY</t>
        </is>
      </c>
      <c r="I4" t="n">
        <v>20929</v>
      </c>
      <c r="J4" t="n">
        <v>0</v>
      </c>
      <c r="K4" s="1" t="n">
        <v>47752</v>
      </c>
      <c r="L4">
        <f>VLOOKUP(H4,FX!$A$2:$B$8,2,FALSE)</f>
        <v>0.0067</v>
      </c>
      <c r="M4">
        <f>ROUND(I4*L4,2)</f>
        <v>140.22</v>
      </c>
      <c r="N4">
        <f>VLOOKUP(F4,Ratings!$A$2:$C$7,3,FALSE)</f>
        <v>0.2</v>
      </c>
      <c r="O4">
        <f>IF(M4&lt;=1000000,0.7619,1)</f>
        <v>0.7619</v>
      </c>
      <c r="P4">
        <f>ROUND(M4*N4*O4,2)</f>
        <v>21.37</v>
      </c>
      <c r="Q4">
        <f>ROUND(P4*0.08,2)</f>
        <v>1.71</v>
      </c>
      <c r="R4" t="str">
        <f>B4&amp;"-"&amp;G4</f>
        <v>Summit Holdings-JP</v>
      </c>
    </row>
    <row r="5">
      <c r="A5" t="inlineStr">
        <is>
          <t>S53004</t>
        </is>
      </c>
      <c r="B5" t="inlineStr">
        <is>
          <t>Delta Corp</t>
        </is>
      </c>
      <c r="C5" t="inlineStr">
        <is>
          <t>SME</t>
        </is>
      </c>
      <c r="D5" t="inlineStr">
        <is>
          <t>AMER</t>
        </is>
      </c>
      <c r="E5" t="inlineStr">
        <is>
          <t>Term Loan</t>
        </is>
      </c>
      <c r="F5" t="inlineStr">
        <is>
          <t>A</t>
        </is>
      </c>
      <c r="G5" t="inlineStr">
        <is>
          <t>CA</t>
        </is>
      </c>
      <c r="H5" t="inlineStr">
        <is>
          <t>USD</t>
        </is>
      </c>
      <c r="I5" t="n">
        <v>24340</v>
      </c>
      <c r="J5" t="n">
        <v>7302</v>
      </c>
      <c r="K5" s="1" t="n">
        <v>47966</v>
      </c>
      <c r="L5">
        <f>VLOOKUP(H5,FX!$A$2:$B$8,2,FALSE)</f>
        <v>1</v>
      </c>
      <c r="M5">
        <f>ROUND(I5*L5,2)</f>
        <v>24340</v>
      </c>
      <c r="N5">
        <f>VLOOKUP(F5,Ratings!$A$2:$C$7,3,FALSE)</f>
        <v>0.5</v>
      </c>
      <c r="O5">
        <f>IF(M5&lt;=1000000,0.7619,1)</f>
        <v>0.7619</v>
      </c>
      <c r="P5">
        <f>ROUND(M5*N5*O5,2)</f>
        <v>9272.32</v>
      </c>
      <c r="Q5">
        <f>ROUND(P5*0.08,2)</f>
        <v>741.79</v>
      </c>
      <c r="R5" t="str">
        <f>B5&amp;"-"&amp;G5</f>
        <v>Delta Corp-CA</v>
      </c>
    </row>
    <row r="6">
      <c r="A6" t="inlineStr">
        <is>
          <t>S53005</t>
        </is>
      </c>
      <c r="B6" t="inlineStr">
        <is>
          <t>Quartz Corp</t>
        </is>
      </c>
      <c r="C6" t="inlineStr">
        <is>
          <t>SME</t>
        </is>
      </c>
      <c r="D6" t="inlineStr">
        <is>
          <t>EMEA</t>
        </is>
      </c>
      <c r="E6" t="inlineStr">
        <is>
          <t>Revolver</t>
        </is>
      </c>
      <c r="F6" t="inlineStr">
        <is>
          <t>BB</t>
        </is>
      </c>
      <c r="G6" t="inlineStr">
        <is>
          <t>EG</t>
        </is>
      </c>
      <c r="H6" t="inlineStr">
        <is>
          <t>USD</t>
        </is>
      </c>
      <c r="I6" t="n">
        <v>22439</v>
      </c>
      <c r="J6" t="n">
        <v>13463</v>
      </c>
      <c r="K6" s="1" t="n">
        <v>48179</v>
      </c>
      <c r="L6">
        <f>VLOOKUP(H6,FX!$A$2:$B$8,2,FALSE)</f>
        <v>1</v>
      </c>
      <c r="M6">
        <f>ROUND(I6*L6,2)</f>
        <v>22439</v>
      </c>
      <c r="N6">
        <f>VLOOKUP(F6,Ratings!$A$2:$C$7,3,FALSE)</f>
        <v>1</v>
      </c>
      <c r="O6">
        <f>IF(M6&lt;=1000000,0.7619,1)</f>
        <v>0.7619</v>
      </c>
      <c r="P6">
        <f>ROUND(M6*N6*O6,2)</f>
        <v>17096.27</v>
      </c>
      <c r="Q6">
        <f>ROUND(P6*0.08,2)</f>
        <v>1367.7</v>
      </c>
      <c r="R6" t="str">
        <f>B6&amp;"-"&amp;G6</f>
        <v>Quartz Corp-EG</v>
      </c>
    </row>
    <row r="7">
      <c r="A7" t="inlineStr">
        <is>
          <t>S53006</t>
        </is>
      </c>
      <c r="B7" t="inlineStr">
        <is>
          <t>Falcon Corp</t>
        </is>
      </c>
      <c r="C7" t="inlineStr">
        <is>
          <t>SME</t>
        </is>
      </c>
      <c r="D7" t="inlineStr">
        <is>
          <t>AMER</t>
        </is>
      </c>
      <c r="E7" t="inlineStr">
        <is>
          <t>Term Loan</t>
        </is>
      </c>
      <c r="F7" t="inlineStr">
        <is>
          <t>B</t>
        </is>
      </c>
      <c r="G7" t="inlineStr">
        <is>
          <t>US</t>
        </is>
      </c>
      <c r="H7" t="inlineStr">
        <is>
          <t>USD</t>
        </is>
      </c>
      <c r="I7" t="n">
        <v>3931</v>
      </c>
      <c r="J7" t="n">
        <v>3538</v>
      </c>
      <c r="K7" s="1" t="n">
        <v>47507</v>
      </c>
      <c r="L7">
        <f>VLOOKUP(H7,FX!$A$2:$B$8,2,FALSE)</f>
        <v>1</v>
      </c>
      <c r="M7">
        <f>ROUND(I7*L7,2)</f>
        <v>3931</v>
      </c>
      <c r="N7">
        <f>VLOOKUP(F7,Ratings!$A$2:$C$7,3,FALSE)</f>
        <v>1.5</v>
      </c>
      <c r="O7">
        <f>IF(M7&lt;=1000000,0.7619,1)</f>
        <v>0.7619</v>
      </c>
      <c r="P7">
        <f>ROUND(M7*N7*O7,2)</f>
        <v>4492.54</v>
      </c>
      <c r="Q7">
        <f>ROUND(P7*0.08,2)</f>
        <v>359.4</v>
      </c>
      <c r="R7" t="str">
        <f>B7&amp;"-"&amp;G7</f>
        <v>Falcon Corp-US</v>
      </c>
    </row>
    <row r="8">
      <c r="A8" t="inlineStr">
        <is>
          <t>S53007</t>
        </is>
      </c>
      <c r="B8" t="inlineStr">
        <is>
          <t>Harbor Corp</t>
        </is>
      </c>
      <c r="C8" t="inlineStr">
        <is>
          <t>SME</t>
        </is>
      </c>
      <c r="D8" t="inlineStr">
        <is>
          <t>APAC</t>
        </is>
      </c>
      <c r="E8" t="inlineStr">
        <is>
          <t>Term Loan</t>
        </is>
      </c>
      <c r="F8" t="inlineStr">
        <is>
          <t>AA</t>
        </is>
      </c>
      <c r="G8" t="inlineStr">
        <is>
          <t>SG</t>
        </is>
      </c>
      <c r="H8" t="inlineStr">
        <is>
          <t>SGD</t>
        </is>
      </c>
      <c r="I8" t="n">
        <v>1078979</v>
      </c>
      <c r="J8" t="n">
        <v>971081</v>
      </c>
      <c r="K8" s="1" t="n">
        <v>49164</v>
      </c>
      <c r="L8">
        <f>VLOOKUP(H8,FX!$A$2:$B$8,2,FALSE)</f>
        <v>0.74</v>
      </c>
      <c r="M8">
        <f>ROUND(I8*L8,2)</f>
        <v>798444.46</v>
      </c>
      <c r="N8">
        <f>VLOOKUP(F8,Ratings!$A$2:$C$7,3,FALSE)</f>
        <v>0.2</v>
      </c>
      <c r="O8">
        <f>IF(M8&lt;=1000000,0.7619,1)</f>
        <v>0.7619</v>
      </c>
      <c r="P8">
        <f>ROUND(M8*N8*O8,2)</f>
        <v>121666.97</v>
      </c>
      <c r="Q8">
        <f>ROUND(P8*0.08,2)</f>
        <v>9733.36</v>
      </c>
      <c r="R8" t="str">
        <f>B8&amp;"-"&amp;G8</f>
        <v>Harbor Corp-SG</v>
      </c>
    </row>
    <row r="9">
      <c r="A9" t="inlineStr">
        <is>
          <t>S53008</t>
        </is>
      </c>
      <c r="B9" t="inlineStr">
        <is>
          <t>Juniper Corp</t>
        </is>
      </c>
      <c r="C9" t="inlineStr">
        <is>
          <t>SME</t>
        </is>
      </c>
      <c r="D9" t="inlineStr">
        <is>
          <t>EMEA</t>
        </is>
      </c>
      <c r="E9" t="inlineStr">
        <is>
          <t>Revolver</t>
        </is>
      </c>
      <c r="F9" t="inlineStr">
        <is>
          <t>A</t>
        </is>
      </c>
      <c r="G9" t="inlineStr">
        <is>
          <t>AE</t>
        </is>
      </c>
      <c r="H9" t="inlineStr">
        <is>
          <t>AED</t>
        </is>
      </c>
      <c r="I9" t="n">
        <v>104208</v>
      </c>
      <c r="J9" t="n">
        <v>0</v>
      </c>
      <c r="K9" s="1" t="n">
        <v>47994</v>
      </c>
      <c r="L9">
        <f>VLOOKUP(H9,FX!$A$2:$B$8,2,FALSE)</f>
        <v>0.2723</v>
      </c>
      <c r="M9">
        <f>ROUND(I9*L9,2)</f>
        <v>28375.84</v>
      </c>
      <c r="N9">
        <f>VLOOKUP(F9,Ratings!$A$2:$C$7,3,FALSE)</f>
        <v>0.5</v>
      </c>
      <c r="O9">
        <f>IF(M9&lt;=1000000,0.7619,1)</f>
        <v>0.7619</v>
      </c>
      <c r="P9">
        <f>ROUND(M9*N9*O9,2)</f>
        <v>10809.78</v>
      </c>
      <c r="Q9">
        <f>ROUND(P9*0.08,2)</f>
        <v>864.78</v>
      </c>
      <c r="R9" t="str">
        <f>B9&amp;"-"&amp;G9</f>
        <v>Juniper Corp-AE</v>
      </c>
    </row>
    <row r="10">
      <c r="A10" t="inlineStr">
        <is>
          <t>S53009</t>
        </is>
      </c>
      <c r="B10" t="inlineStr">
        <is>
          <t>Juniper Holdings</t>
        </is>
      </c>
      <c r="C10" t="inlineStr">
        <is>
          <t>SME</t>
        </is>
      </c>
      <c r="D10" t="inlineStr">
        <is>
          <t>APAC</t>
        </is>
      </c>
      <c r="E10" t="inlineStr">
        <is>
          <t>Term Loan</t>
        </is>
      </c>
      <c r="F10" t="inlineStr">
        <is>
          <t>AAA</t>
        </is>
      </c>
      <c r="G10" t="inlineStr">
        <is>
          <t>JP</t>
        </is>
      </c>
      <c r="H10" t="inlineStr">
        <is>
          <t>JPY</t>
        </is>
      </c>
      <c r="I10" t="n">
        <v>1351480</v>
      </c>
      <c r="J10" t="n">
        <v>1216332</v>
      </c>
      <c r="K10" s="1" t="n">
        <v>46410</v>
      </c>
      <c r="L10">
        <f>VLOOKUP(H10,FX!$A$2:$B$8,2,FALSE)</f>
        <v>0.0067</v>
      </c>
      <c r="M10">
        <f>ROUND(I10*L10,2)</f>
        <v>9054.92</v>
      </c>
      <c r="N10">
        <f>VLOOKUP(F10,Ratings!$A$2:$C$7,3,FALSE)</f>
        <v>0.2</v>
      </c>
      <c r="O10">
        <f>IF(M10&lt;=1000000,0.7619,1)</f>
        <v>0.7619</v>
      </c>
      <c r="P10">
        <f>ROUND(M10*N10*O10,2)</f>
        <v>1379.79</v>
      </c>
      <c r="Q10">
        <f>ROUND(P10*0.08,2)</f>
        <v>110.38</v>
      </c>
      <c r="R10" t="str">
        <f>B10&amp;"-"&amp;G10</f>
        <v>Juniper Holdings-JP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PD</t>
        </is>
      </c>
      <c r="C1" t="inlineStr">
        <is>
          <t>RiskWeight</t>
        </is>
      </c>
    </row>
    <row r="2">
      <c r="A2" t="inlineStr">
        <is>
          <t>AAA</t>
        </is>
      </c>
      <c r="B2" t="n">
        <v>0.0003</v>
      </c>
      <c r="C2" t="n">
        <v>0.2</v>
      </c>
    </row>
    <row r="3">
      <c r="A3" t="inlineStr">
        <is>
          <t>AA</t>
        </is>
      </c>
      <c r="B3" t="n">
        <v>0.001</v>
      </c>
      <c r="C3" t="n">
        <v>0.2</v>
      </c>
    </row>
    <row r="4">
      <c r="A4" t="inlineStr">
        <is>
          <t>A</t>
        </is>
      </c>
      <c r="B4" t="n">
        <v>0.003</v>
      </c>
      <c r="C4" t="n">
        <v>0.5</v>
      </c>
    </row>
    <row r="5">
      <c r="A5" t="inlineStr">
        <is>
          <t>BBB</t>
        </is>
      </c>
      <c r="B5" t="n">
        <v>0.01</v>
      </c>
      <c r="C5" t="n">
        <v>1</v>
      </c>
    </row>
    <row r="6">
      <c r="A6" t="inlineStr">
        <is>
          <t>BB</t>
        </is>
      </c>
      <c r="B6" t="n">
        <v>0.04</v>
      </c>
      <c r="C6" t="n">
        <v>1</v>
      </c>
    </row>
    <row r="7">
      <c r="A7" t="inlineStr">
        <is>
          <t>B</t>
        </is>
      </c>
      <c r="B7" t="n">
        <v>0.1</v>
      </c>
      <c r="C7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LGD</t>
        </is>
      </c>
      <c r="C1" t="inlineStr">
        <is>
          <t>CollateralHaircut</t>
        </is>
      </c>
    </row>
    <row r="2">
      <c r="A2" t="inlineStr">
        <is>
          <t>Mortgage</t>
        </is>
      </c>
      <c r="B2" t="n">
        <v>0.15</v>
      </c>
      <c r="C2" t="n">
        <v>0.3</v>
      </c>
    </row>
    <row r="3">
      <c r="A3" t="inlineStr">
        <is>
          <t>Credit Card</t>
        </is>
      </c>
      <c r="B3" t="n">
        <v>0.65</v>
      </c>
      <c r="C3" t="n">
        <v>0</v>
      </c>
    </row>
    <row r="4">
      <c r="A4" t="inlineStr">
        <is>
          <t>Personal Loan</t>
        </is>
      </c>
      <c r="B4" t="n">
        <v>0.45</v>
      </c>
      <c r="C4" t="n">
        <v>0.05</v>
      </c>
    </row>
    <row r="5">
      <c r="A5" t="inlineStr">
        <is>
          <t>Term Loan</t>
        </is>
      </c>
      <c r="B5" t="n">
        <v>0.35</v>
      </c>
      <c r="C5" t="n">
        <v>0.1</v>
      </c>
    </row>
    <row r="6">
      <c r="A6" t="inlineStr">
        <is>
          <t>Revolver</t>
        </is>
      </c>
      <c r="B6" t="n">
        <v>0.4</v>
      </c>
      <c r="C6" t="n">
        <v>0.15</v>
      </c>
    </row>
    <row r="7">
      <c r="A7" t="inlineStr">
        <is>
          <t>Trade Finance</t>
        </is>
      </c>
      <c r="B7" t="n">
        <v>0.3</v>
      </c>
      <c r="C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CountryRisk</t>
        </is>
      </c>
    </row>
    <row r="2">
      <c r="A2" t="inlineStr">
        <is>
          <t>UK</t>
        </is>
      </c>
      <c r="B2" t="inlineStr">
        <is>
          <t>EMEA</t>
        </is>
      </c>
      <c r="C2" t="inlineStr">
        <is>
          <t>Low</t>
        </is>
      </c>
    </row>
    <row r="3">
      <c r="A3" t="inlineStr">
        <is>
          <t>DE</t>
        </is>
      </c>
      <c r="B3" t="inlineStr">
        <is>
          <t>EMEA</t>
        </is>
      </c>
      <c r="C3" t="inlineStr">
        <is>
          <t>Low</t>
        </is>
      </c>
    </row>
    <row r="4">
      <c r="A4" t="inlineStr">
        <is>
          <t>FR</t>
        </is>
      </c>
      <c r="B4" t="inlineStr">
        <is>
          <t>EMEA</t>
        </is>
      </c>
      <c r="C4" t="inlineStr">
        <is>
          <t>Low</t>
        </is>
      </c>
    </row>
    <row r="5">
      <c r="A5" t="inlineStr">
        <is>
          <t>AE</t>
        </is>
      </c>
      <c r="B5" t="inlineStr">
        <is>
          <t>EMEA</t>
        </is>
      </c>
      <c r="C5" t="inlineStr">
        <is>
          <t>Medium</t>
        </is>
      </c>
    </row>
    <row r="6">
      <c r="A6" t="inlineStr">
        <is>
          <t>EG</t>
        </is>
      </c>
      <c r="B6" t="inlineStr">
        <is>
          <t>EMEA</t>
        </is>
      </c>
      <c r="C6" t="inlineStr">
        <is>
          <t>High</t>
        </is>
      </c>
    </row>
    <row r="7">
      <c r="A7" t="inlineStr">
        <is>
          <t>SG</t>
        </is>
      </c>
      <c r="B7" t="inlineStr">
        <is>
          <t>APAC</t>
        </is>
      </c>
      <c r="C7" t="inlineStr">
        <is>
          <t>Low</t>
        </is>
      </c>
    </row>
    <row r="8">
      <c r="A8" t="inlineStr">
        <is>
          <t>IN</t>
        </is>
      </c>
      <c r="B8" t="inlineStr">
        <is>
          <t>APAC</t>
        </is>
      </c>
      <c r="C8" t="inlineStr">
        <is>
          <t>Medium</t>
        </is>
      </c>
    </row>
    <row r="9">
      <c r="A9" t="inlineStr">
        <is>
          <t>JP</t>
        </is>
      </c>
      <c r="B9" t="inlineStr">
        <is>
          <t>APAC</t>
        </is>
      </c>
      <c r="C9" t="inlineStr">
        <is>
          <t>Low</t>
        </is>
      </c>
    </row>
    <row r="10">
      <c r="A10" t="inlineStr">
        <is>
          <t>ID</t>
        </is>
      </c>
      <c r="B10" t="inlineStr">
        <is>
          <t>APAC</t>
        </is>
      </c>
      <c r="C10" t="inlineStr">
        <is>
          <t>High</t>
        </is>
      </c>
    </row>
    <row r="11">
      <c r="A11" t="inlineStr">
        <is>
          <t>US</t>
        </is>
      </c>
      <c r="B11" t="inlineStr">
        <is>
          <t>AMER</t>
        </is>
      </c>
      <c r="C11" t="inlineStr">
        <is>
          <t>Low</t>
        </is>
      </c>
    </row>
    <row r="12">
      <c r="A12" t="inlineStr">
        <is>
          <t>BR</t>
        </is>
      </c>
      <c r="B12" t="inlineStr">
        <is>
          <t>AMER</t>
        </is>
      </c>
      <c r="C12" t="inlineStr">
        <is>
          <t>High</t>
        </is>
      </c>
    </row>
    <row r="13">
      <c r="A13" t="inlineStr">
        <is>
          <t>CA</t>
        </is>
      </c>
      <c r="B13" t="inlineStr">
        <is>
          <t>AMER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RateToUSD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EUR</t>
        </is>
      </c>
      <c r="B3" t="n">
        <v>1.08</v>
      </c>
    </row>
    <row r="4">
      <c r="A4" t="inlineStr">
        <is>
          <t>GBP</t>
        </is>
      </c>
      <c r="B4" t="n">
        <v>1.27</v>
      </c>
    </row>
    <row r="5">
      <c r="A5" t="inlineStr">
        <is>
          <t>AED</t>
        </is>
      </c>
      <c r="B5" t="n">
        <v>0.2723</v>
      </c>
    </row>
    <row r="6">
      <c r="A6" t="inlineStr">
        <is>
          <t>SGD</t>
        </is>
      </c>
      <c r="B6" t="n">
        <v>0.74</v>
      </c>
    </row>
    <row r="7">
      <c r="A7" t="inlineStr">
        <is>
          <t>JPY</t>
        </is>
      </c>
      <c r="B7" t="n">
        <v>0.0067</v>
      </c>
    </row>
    <row r="8">
      <c r="A8" t="inlineStr">
        <is>
          <t>INR</t>
        </is>
      </c>
      <c r="B8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2026-10-26T05:54:03Z</dcterms:created>
  <dcterms:modified xmlns:dcterms="http://purl.org/dc/terms/" xmlns:xsi="http://www.w3.org/2001/XMLSchema-instance" xsi:type="dcterms:W3CDTF">2026-10-26T05:54:03Z</dcterms:modified>
</cp:coreProperties>
</file>