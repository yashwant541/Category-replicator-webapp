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EMEA" sheetId="1" state="visible" r:id="rId1"/>
    <sheet xmlns:r="http://schemas.openxmlformats.org/officeDocument/2006/relationships" name="Retail_APAC" sheetId="2" state="visible" r:id="rId2"/>
    <sheet xmlns:r="http://schemas.openxmlformats.org/officeDocument/2006/relationships" name="Corporate_Global" sheetId="3" state="visible" r:id="rId3"/>
    <sheet xmlns:r="http://schemas.openxmlformats.org/officeDocument/2006/relationships" name="SME_Global" sheetId="4" state="visible" r:id="rId4"/>
    <sheet xmlns:r="http://schemas.openxmlformats.org/officeDocument/2006/relationships" name="Rating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Countries" sheetId="7" state="visible" r:id="rId7"/>
    <sheet xmlns:r="http://schemas.openxmlformats.org/officeDocument/2006/relationships" name="F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PD</t>
        </is>
      </c>
      <c r="O1" t="inlineStr">
        <is>
          <t>LGD</t>
        </is>
      </c>
      <c r="P1" t="inlineStr">
        <is>
          <t>Expected_Loss</t>
        </is>
      </c>
    </row>
    <row r="2">
      <c r="A2" t="inlineStr">
        <is>
          <t>R00001</t>
        </is>
      </c>
      <c r="B2" t="inlineStr">
        <is>
          <t>Summit Corp</t>
        </is>
      </c>
      <c r="C2" t="inlineStr">
        <is>
          <t>Retail</t>
        </is>
      </c>
      <c r="D2" t="inlineStr">
        <is>
          <t>EMEA</t>
        </is>
      </c>
      <c r="E2" t="inlineStr">
        <is>
          <t>Credit Card</t>
        </is>
      </c>
      <c r="F2" t="inlineStr">
        <is>
          <t>AA</t>
        </is>
      </c>
      <c r="G2" t="inlineStr">
        <is>
          <t>EG</t>
        </is>
      </c>
      <c r="H2" t="inlineStr">
        <is>
          <t>USD</t>
        </is>
      </c>
      <c r="I2" t="n">
        <v>301411</v>
      </c>
      <c r="J2" t="n">
        <v>271270</v>
      </c>
      <c r="K2" s="1" t="n">
        <v>48172</v>
      </c>
      <c r="L2">
        <f>VLOOKUP(H2,FX!$A$2:$B$8,2,FALSE)</f>
        <v>1</v>
      </c>
      <c r="M2">
        <f>ROUND(I2*L2,2)</f>
        <v>301411</v>
      </c>
      <c r="N2">
        <f>VLOOKUP(F2,Ratings!$A$2:$C$7,2,FALSE)</f>
        <v>0.001</v>
      </c>
      <c r="O2">
        <f>VLOOKUP(E2,Products!$A$2:$C$7,2,FALSE)</f>
        <v>0.65</v>
      </c>
      <c r="P2">
        <f>ROUND(M2*N2*O2,2)</f>
        <v>195.92</v>
      </c>
    </row>
    <row r="3">
      <c r="A3" t="inlineStr">
        <is>
          <t>R00002</t>
        </is>
      </c>
      <c r="B3" t="inlineStr">
        <is>
          <t>Redwood Ltd</t>
        </is>
      </c>
      <c r="C3" t="inlineStr">
        <is>
          <t>Retail</t>
        </is>
      </c>
      <c r="D3" t="inlineStr">
        <is>
          <t>EMEA</t>
        </is>
      </c>
      <c r="E3" t="inlineStr">
        <is>
          <t>Credit Card</t>
        </is>
      </c>
      <c r="F3" t="inlineStr">
        <is>
          <t>BB</t>
        </is>
      </c>
      <c r="G3" t="inlineStr">
        <is>
          <t>UK</t>
        </is>
      </c>
      <c r="H3" t="inlineStr">
        <is>
          <t>GBP</t>
        </is>
      </c>
      <c r="I3" t="n">
        <v>70657</v>
      </c>
      <c r="J3" t="n">
        <v>42394</v>
      </c>
      <c r="K3" s="1" t="n">
        <v>48176</v>
      </c>
      <c r="L3">
        <f>VLOOKUP(H3,FX!$A$2:$B$8,2,FALSE)</f>
        <v>1.27</v>
      </c>
      <c r="M3">
        <f>ROUND(I3*L3,2)</f>
        <v>89734.39</v>
      </c>
      <c r="N3">
        <f>VLOOKUP(F3,Ratings!$A$2:$C$7,2,FALSE)</f>
        <v>0.04</v>
      </c>
      <c r="O3">
        <f>VLOOKUP(E3,Products!$A$2:$C$7,2,FALSE)</f>
        <v>0.65</v>
      </c>
      <c r="P3">
        <f>ROUND(M3*N3*O3,2)</f>
        <v>2333.09</v>
      </c>
    </row>
    <row r="4">
      <c r="A4" t="inlineStr">
        <is>
          <t>R00003</t>
        </is>
      </c>
      <c r="B4" t="inlineStr">
        <is>
          <t>Borealis Corp</t>
        </is>
      </c>
      <c r="C4" t="inlineStr">
        <is>
          <t>Retail</t>
        </is>
      </c>
      <c r="D4" t="inlineStr">
        <is>
          <t>EMEA</t>
        </is>
      </c>
      <c r="E4" t="inlineStr">
        <is>
          <t>Mortgage</t>
        </is>
      </c>
      <c r="F4" t="inlineStr">
        <is>
          <t>AA</t>
        </is>
      </c>
      <c r="G4" t="inlineStr">
        <is>
          <t>EG</t>
        </is>
      </c>
      <c r="H4" t="inlineStr">
        <is>
          <t>USD</t>
        </is>
      </c>
      <c r="I4" t="n">
        <v>885479</v>
      </c>
      <c r="J4" t="n">
        <v>796931</v>
      </c>
      <c r="K4" s="1" t="n">
        <v>46610</v>
      </c>
      <c r="L4">
        <f>VLOOKUP(H4,FX!$A$2:$B$8,2,FALSE)</f>
        <v>1</v>
      </c>
      <c r="M4">
        <f>ROUND(I4*L4,2)</f>
        <v>885479</v>
      </c>
      <c r="N4">
        <f>VLOOKUP(F4,Ratings!$A$2:$C$7,2,FALSE)</f>
        <v>0.001</v>
      </c>
      <c r="O4">
        <f>VLOOKUP(E4,Products!$A$2:$C$7,2,FALSE)</f>
        <v>0.15</v>
      </c>
      <c r="P4">
        <f>ROUND(M4*N4*O4,2)</f>
        <v>132.82</v>
      </c>
    </row>
    <row r="5">
      <c r="A5" t="inlineStr">
        <is>
          <t>R00004</t>
        </is>
      </c>
      <c r="B5" t="inlineStr">
        <is>
          <t>Juniper Holdings</t>
        </is>
      </c>
      <c r="C5" t="inlineStr">
        <is>
          <t>Retail</t>
        </is>
      </c>
      <c r="D5" t="inlineStr">
        <is>
          <t>EMEA</t>
        </is>
      </c>
      <c r="E5" t="inlineStr">
        <is>
          <t>Mortgage</t>
        </is>
      </c>
      <c r="F5" t="inlineStr">
        <is>
          <t>AAA</t>
        </is>
      </c>
      <c r="G5" t="inlineStr">
        <is>
          <t>EG</t>
        </is>
      </c>
      <c r="H5" t="inlineStr">
        <is>
          <t>USD</t>
        </is>
      </c>
      <c r="I5" t="n">
        <v>1008225</v>
      </c>
      <c r="J5" t="n">
        <v>0</v>
      </c>
      <c r="K5" s="1" t="n">
        <v>48161</v>
      </c>
      <c r="L5">
        <f>VLOOKUP(H5,FX!$A$2:$B$8,2,FALSE)</f>
        <v>1</v>
      </c>
      <c r="M5">
        <f>ROUND(I5*L5,2)</f>
        <v>1008225</v>
      </c>
      <c r="N5">
        <f>VLOOKUP(F5,Ratings!$A$2:$C$7,2,FALSE)</f>
        <v>0.0003</v>
      </c>
      <c r="O5">
        <f>VLOOKUP(E5,Products!$A$2:$C$7,2,FALSE)</f>
        <v>0.15</v>
      </c>
      <c r="P5">
        <f>ROUND(M5*N5*O5,2)</f>
        <v>45.37</v>
      </c>
    </row>
    <row r="6">
      <c r="A6" t="inlineStr">
        <is>
          <t>R00005</t>
        </is>
      </c>
      <c r="B6" t="inlineStr">
        <is>
          <t>Harbor Group</t>
        </is>
      </c>
      <c r="C6" t="inlineStr">
        <is>
          <t>Retail</t>
        </is>
      </c>
      <c r="D6" t="inlineStr">
        <is>
          <t>EMEA</t>
        </is>
      </c>
      <c r="E6" t="inlineStr">
        <is>
          <t>Mortgage</t>
        </is>
      </c>
      <c r="F6" t="inlineStr">
        <is>
          <t>AAA</t>
        </is>
      </c>
      <c r="G6" t="inlineStr">
        <is>
          <t>EG</t>
        </is>
      </c>
      <c r="H6" t="inlineStr">
        <is>
          <t>USD</t>
        </is>
      </c>
      <c r="I6" t="n">
        <v>80025</v>
      </c>
      <c r="J6" t="n">
        <v>0</v>
      </c>
      <c r="K6" s="1" t="n">
        <v>48988</v>
      </c>
      <c r="L6">
        <f>VLOOKUP(H6,FX!$A$2:$B$8,2,FALSE)</f>
        <v>1</v>
      </c>
      <c r="M6">
        <f>ROUND(I6*L6,2)</f>
        <v>80025</v>
      </c>
      <c r="N6">
        <f>VLOOKUP(F6,Ratings!$A$2:$C$7,2,FALSE)</f>
        <v>0.0003</v>
      </c>
      <c r="O6">
        <f>VLOOKUP(E6,Products!$A$2:$C$7,2,FALSE)</f>
        <v>0.15</v>
      </c>
      <c r="P6">
        <f>ROUND(M6*N6*O6,2)</f>
        <v>3.6</v>
      </c>
    </row>
    <row r="7">
      <c r="A7" t="inlineStr">
        <is>
          <t>R00006</t>
        </is>
      </c>
      <c r="B7" t="inlineStr">
        <is>
          <t>Atlas Corp</t>
        </is>
      </c>
      <c r="C7" t="inlineStr">
        <is>
          <t>Retail</t>
        </is>
      </c>
      <c r="D7" t="inlineStr">
        <is>
          <t>EMEA</t>
        </is>
      </c>
      <c r="E7" t="inlineStr">
        <is>
          <t>Credit Card</t>
        </is>
      </c>
      <c r="F7" t="inlineStr">
        <is>
          <t>AA</t>
        </is>
      </c>
      <c r="G7" t="inlineStr">
        <is>
          <t>FR</t>
        </is>
      </c>
      <c r="H7" t="inlineStr">
        <is>
          <t>EUR</t>
        </is>
      </c>
      <c r="I7" t="n">
        <v>6374</v>
      </c>
      <c r="J7" t="n">
        <v>0</v>
      </c>
      <c r="K7" s="1" t="n">
        <v>48052</v>
      </c>
      <c r="L7">
        <f>VLOOKUP(H7,FX!$A$2:$B$8,2,FALSE)</f>
        <v>1.08</v>
      </c>
      <c r="M7">
        <f>ROUND(I7*L7,2)</f>
        <v>6883.92</v>
      </c>
      <c r="N7">
        <f>VLOOKUP(F7,Ratings!$A$2:$C$7,2,FALSE)</f>
        <v>0.001</v>
      </c>
      <c r="O7">
        <f>VLOOKUP(E7,Products!$A$2:$C$7,2,FALSE)</f>
        <v>0.65</v>
      </c>
      <c r="P7">
        <f>ROUND(M7*N7*O7,2)</f>
        <v>4.47</v>
      </c>
    </row>
    <row r="8">
      <c r="A8" t="inlineStr">
        <is>
          <t>R00007</t>
        </is>
      </c>
      <c r="B8" t="inlineStr">
        <is>
          <t>Indigo Group</t>
        </is>
      </c>
      <c r="C8" t="inlineStr">
        <is>
          <t>Retail</t>
        </is>
      </c>
      <c r="D8" t="inlineStr">
        <is>
          <t>EMEA</t>
        </is>
      </c>
      <c r="E8" t="inlineStr">
        <is>
          <t>Mortgage</t>
        </is>
      </c>
      <c r="F8" t="inlineStr">
        <is>
          <t>AAA</t>
        </is>
      </c>
      <c r="G8" t="inlineStr">
        <is>
          <t>AE</t>
        </is>
      </c>
      <c r="H8" t="inlineStr">
        <is>
          <t>AED</t>
        </is>
      </c>
      <c r="I8" t="n">
        <v>1293208</v>
      </c>
      <c r="J8" t="n">
        <v>387962</v>
      </c>
      <c r="K8" s="1" t="n">
        <v>47497</v>
      </c>
      <c r="L8">
        <f>VLOOKUP(H8,FX!$A$2:$B$8,2,FALSE)</f>
        <v>0.2723</v>
      </c>
      <c r="M8">
        <f>ROUND(I8*L8,2)</f>
        <v>352140.54</v>
      </c>
      <c r="N8">
        <f>VLOOKUP(F8,Ratings!$A$2:$C$7,2,FALSE)</f>
        <v>0.0003</v>
      </c>
      <c r="O8">
        <f>VLOOKUP(E8,Products!$A$2:$C$7,2,FALSE)</f>
        <v>0.15</v>
      </c>
      <c r="P8">
        <f>ROUND(M8*N8*O8,2)</f>
        <v>15.85</v>
      </c>
    </row>
    <row r="9">
      <c r="A9" t="inlineStr">
        <is>
          <t>R00008</t>
        </is>
      </c>
      <c r="B9" t="inlineStr">
        <is>
          <t>Orion Holdings</t>
        </is>
      </c>
      <c r="C9" t="inlineStr">
        <is>
          <t>Retail</t>
        </is>
      </c>
      <c r="D9" t="inlineStr">
        <is>
          <t>EMEA</t>
        </is>
      </c>
      <c r="E9" t="inlineStr">
        <is>
          <t>Mortgage</t>
        </is>
      </c>
      <c r="F9" t="inlineStr">
        <is>
          <t>AA</t>
        </is>
      </c>
      <c r="G9" t="inlineStr">
        <is>
          <t>DE</t>
        </is>
      </c>
      <c r="H9" t="inlineStr">
        <is>
          <t>EUR</t>
        </is>
      </c>
      <c r="I9" t="n">
        <v>3533</v>
      </c>
      <c r="J9" t="n">
        <v>3180</v>
      </c>
      <c r="K9" s="1" t="n">
        <v>46982</v>
      </c>
      <c r="L9">
        <f>VLOOKUP(H9,FX!$A$2:$B$8,2,FALSE)</f>
        <v>1.08</v>
      </c>
      <c r="M9">
        <f>ROUND(I9*L9,2)</f>
        <v>3815.64</v>
      </c>
      <c r="N9">
        <f>VLOOKUP(F9,Ratings!$A$2:$C$7,2,FALSE)</f>
        <v>0.001</v>
      </c>
      <c r="O9">
        <f>VLOOKUP(E9,Products!$A$2:$C$7,2,FALSE)</f>
        <v>0.15</v>
      </c>
      <c r="P9">
        <f>ROUND(M9*N9*O9,2)</f>
        <v>0.57</v>
      </c>
    </row>
    <row r="10">
      <c r="A10" t="inlineStr">
        <is>
          <t>R00009</t>
        </is>
      </c>
      <c r="B10" t="inlineStr">
        <is>
          <t>Nimbus Corp</t>
        </is>
      </c>
      <c r="C10" t="inlineStr">
        <is>
          <t>Retail</t>
        </is>
      </c>
      <c r="D10" t="inlineStr">
        <is>
          <t>EMEA</t>
        </is>
      </c>
      <c r="E10" t="inlineStr">
        <is>
          <t>Credit Card</t>
        </is>
      </c>
      <c r="F10" t="inlineStr">
        <is>
          <t>AAA</t>
        </is>
      </c>
      <c r="G10" t="inlineStr">
        <is>
          <t>DE</t>
        </is>
      </c>
      <c r="H10" t="inlineStr">
        <is>
          <t>EUR</t>
        </is>
      </c>
      <c r="I10" t="n">
        <v>230971</v>
      </c>
      <c r="J10" t="n">
        <v>69291</v>
      </c>
      <c r="K10" s="1" t="n">
        <v>49065</v>
      </c>
      <c r="L10">
        <f>VLOOKUP(H10,FX!$A$2:$B$8,2,FALSE)</f>
        <v>1.08</v>
      </c>
      <c r="M10">
        <f>ROUND(I10*L10,2)</f>
        <v>249448.68</v>
      </c>
      <c r="N10">
        <f>VLOOKUP(F10,Ratings!$A$2:$C$7,2,FALSE)</f>
        <v>0.0003</v>
      </c>
      <c r="O10">
        <f>VLOOKUP(E10,Products!$A$2:$C$7,2,FALSE)</f>
        <v>0.65</v>
      </c>
      <c r="P10">
        <f>ROUND(M10*N10*O10,2)</f>
        <v>48.64</v>
      </c>
    </row>
    <row r="11">
      <c r="A11" t="inlineStr">
        <is>
          <t>R00010</t>
        </is>
      </c>
      <c r="B11" t="inlineStr">
        <is>
          <t>Delta Ltd</t>
        </is>
      </c>
      <c r="C11" t="inlineStr">
        <is>
          <t>Retail</t>
        </is>
      </c>
      <c r="D11" t="inlineStr">
        <is>
          <t>EMEA</t>
        </is>
      </c>
      <c r="E11" t="inlineStr">
        <is>
          <t>Credit Card</t>
        </is>
      </c>
      <c r="F11" t="inlineStr">
        <is>
          <t>AA</t>
        </is>
      </c>
      <c r="G11" t="inlineStr">
        <is>
          <t>DE</t>
        </is>
      </c>
      <c r="H11" t="inlineStr">
        <is>
          <t>EUR</t>
        </is>
      </c>
      <c r="I11" t="n">
        <v>1302122</v>
      </c>
      <c r="J11" t="n">
        <v>0</v>
      </c>
      <c r="K11" s="1" t="n">
        <v>47969</v>
      </c>
      <c r="L11">
        <f>VLOOKUP(H11,FX!$A$2:$B$8,2,FALSE)</f>
        <v>1.08</v>
      </c>
      <c r="M11">
        <f>ROUND(I11*L11,2)</f>
        <v>1406291.76</v>
      </c>
      <c r="N11">
        <f>VLOOKUP(F11,Ratings!$A$2:$C$7,2,FALSE)</f>
        <v>0.001</v>
      </c>
      <c r="O11">
        <f>VLOOKUP(E11,Products!$A$2:$C$7,2,FALSE)</f>
        <v>0.65</v>
      </c>
      <c r="P11">
        <f>ROUND(M11*N11*O11,2)</f>
        <v>914.09</v>
      </c>
    </row>
    <row r="12">
      <c r="A12" t="inlineStr">
        <is>
          <t>R00011</t>
        </is>
      </c>
      <c r="B12" t="inlineStr">
        <is>
          <t>Granite Corp</t>
        </is>
      </c>
      <c r="C12" t="inlineStr">
        <is>
          <t>Retail</t>
        </is>
      </c>
      <c r="D12" t="inlineStr">
        <is>
          <t>EMEA</t>
        </is>
      </c>
      <c r="E12" t="inlineStr">
        <is>
          <t>Credit Card</t>
        </is>
      </c>
      <c r="F12" t="inlineStr">
        <is>
          <t>AAA</t>
        </is>
      </c>
      <c r="G12" t="inlineStr">
        <is>
          <t>FR</t>
        </is>
      </c>
      <c r="H12" t="inlineStr">
        <is>
          <t>EUR</t>
        </is>
      </c>
      <c r="I12" t="n">
        <v>3723</v>
      </c>
      <c r="J12" t="n">
        <v>3351</v>
      </c>
      <c r="K12" s="1" t="n">
        <v>47654</v>
      </c>
      <c r="L12">
        <f>VLOOKUP(H12,FX!$A$2:$B$8,2,FALSE)</f>
        <v>1.08</v>
      </c>
      <c r="M12">
        <f>ROUND(I12*L12,2)</f>
        <v>4020.84</v>
      </c>
      <c r="N12">
        <f>VLOOKUP(F12,Ratings!$A$2:$C$7,2,FALSE)</f>
        <v>0.0003</v>
      </c>
      <c r="O12">
        <f>VLOOKUP(E12,Products!$A$2:$C$7,2,FALSE)</f>
        <v>0.65</v>
      </c>
      <c r="P12">
        <f>ROUND(M12*N12*O12,2)</f>
        <v>0.78</v>
      </c>
    </row>
    <row r="13">
      <c r="A13" t="inlineStr">
        <is>
          <t>R00012</t>
        </is>
      </c>
      <c r="B13" t="inlineStr">
        <is>
          <t>Everest Holdings</t>
        </is>
      </c>
      <c r="C13" t="inlineStr">
        <is>
          <t>Retail</t>
        </is>
      </c>
      <c r="D13" t="inlineStr">
        <is>
          <t>EMEA</t>
        </is>
      </c>
      <c r="E13" t="inlineStr">
        <is>
          <t>Personal Loan</t>
        </is>
      </c>
      <c r="F13" t="inlineStr">
        <is>
          <t>AA</t>
        </is>
      </c>
      <c r="G13" t="inlineStr">
        <is>
          <t>DE</t>
        </is>
      </c>
      <c r="H13" t="inlineStr">
        <is>
          <t>EUR</t>
        </is>
      </c>
      <c r="I13" t="n">
        <v>359825</v>
      </c>
      <c r="J13" t="n">
        <v>0</v>
      </c>
      <c r="K13" s="1" t="n">
        <v>47600</v>
      </c>
      <c r="L13">
        <f>VLOOKUP(H13,FX!$A$2:$B$8,2,FALSE)</f>
        <v>1.08</v>
      </c>
      <c r="M13">
        <f>ROUND(I13*L13,2)</f>
        <v>388611</v>
      </c>
      <c r="N13">
        <f>VLOOKUP(F13,Ratings!$A$2:$C$7,2,FALSE)</f>
        <v>0.001</v>
      </c>
      <c r="O13">
        <f>VLOOKUP(E13,Products!$A$2:$C$7,2,FALSE)</f>
        <v>0.45</v>
      </c>
      <c r="P13">
        <f>ROUND(M13*N13*O13,2)</f>
        <v>174.87</v>
      </c>
    </row>
    <row r="14">
      <c r="A14" t="inlineStr">
        <is>
          <t>R00013</t>
        </is>
      </c>
      <c r="B14" t="inlineStr">
        <is>
          <t>Meridian Holdings</t>
        </is>
      </c>
      <c r="C14" t="inlineStr">
        <is>
          <t>Retail</t>
        </is>
      </c>
      <c r="D14" t="inlineStr">
        <is>
          <t>EMEA</t>
        </is>
      </c>
      <c r="E14" t="inlineStr">
        <is>
          <t>Mortgage</t>
        </is>
      </c>
      <c r="F14" t="inlineStr">
        <is>
          <t>BB</t>
        </is>
      </c>
      <c r="G14" t="inlineStr">
        <is>
          <t>DE</t>
        </is>
      </c>
      <c r="H14" t="inlineStr">
        <is>
          <t>EUR</t>
        </is>
      </c>
      <c r="I14" t="n">
        <v>981545</v>
      </c>
      <c r="J14" t="n">
        <v>0</v>
      </c>
      <c r="K14" s="1" t="n">
        <v>47852</v>
      </c>
      <c r="L14">
        <f>VLOOKUP(H14,FX!$A$2:$B$8,2,FALSE)</f>
        <v>1.08</v>
      </c>
      <c r="M14">
        <f>ROUND(I14*L14,2)</f>
        <v>1060068.6</v>
      </c>
      <c r="N14">
        <f>VLOOKUP(F14,Ratings!$A$2:$C$7,2,FALSE)</f>
        <v>0.04</v>
      </c>
      <c r="O14">
        <f>VLOOKUP(E14,Products!$A$2:$C$7,2,FALSE)</f>
        <v>0.15</v>
      </c>
      <c r="P14">
        <f>ROUND(M14*N14*O14,2)</f>
        <v>6360.41</v>
      </c>
    </row>
    <row r="15">
      <c r="A15" t="inlineStr">
        <is>
          <t>R00014</t>
        </is>
      </c>
      <c r="B15" t="inlineStr">
        <is>
          <t>Meridian Group</t>
        </is>
      </c>
      <c r="C15" t="inlineStr">
        <is>
          <t>Retail</t>
        </is>
      </c>
      <c r="D15" t="inlineStr">
        <is>
          <t>EMEA</t>
        </is>
      </c>
      <c r="E15" t="inlineStr">
        <is>
          <t>Personal Loan</t>
        </is>
      </c>
      <c r="F15" t="inlineStr">
        <is>
          <t>BBB</t>
        </is>
      </c>
      <c r="G15" t="inlineStr">
        <is>
          <t>UK</t>
        </is>
      </c>
      <c r="H15" t="inlineStr">
        <is>
          <t>GBP</t>
        </is>
      </c>
      <c r="I15" t="n">
        <v>75874</v>
      </c>
      <c r="J15" t="n">
        <v>68287</v>
      </c>
      <c r="K15" s="1" t="n">
        <v>47985</v>
      </c>
      <c r="L15">
        <f>VLOOKUP(H15,FX!$A$2:$B$8,2,FALSE)</f>
        <v>1.27</v>
      </c>
      <c r="M15">
        <f>ROUND(I15*L15,2)</f>
        <v>96359.98</v>
      </c>
      <c r="N15">
        <f>VLOOKUP(F15,Ratings!$A$2:$C$7,2,FALSE)</f>
        <v>0.01</v>
      </c>
      <c r="O15">
        <f>VLOOKUP(E15,Products!$A$2:$C$7,2,FALSE)</f>
        <v>0.45</v>
      </c>
      <c r="P15">
        <f>ROUND(M15*N15*O15,2)</f>
        <v>433.62</v>
      </c>
    </row>
    <row r="16">
      <c r="A16" t="inlineStr">
        <is>
          <t>R00015</t>
        </is>
      </c>
      <c r="B16" t="inlineStr">
        <is>
          <t>Titan Ltd</t>
        </is>
      </c>
      <c r="C16" t="inlineStr">
        <is>
          <t>Retail</t>
        </is>
      </c>
      <c r="D16" t="inlineStr">
        <is>
          <t>EMEA</t>
        </is>
      </c>
      <c r="E16" t="inlineStr">
        <is>
          <t>Mortgage</t>
        </is>
      </c>
      <c r="F16" t="inlineStr">
        <is>
          <t>A</t>
        </is>
      </c>
      <c r="G16" t="inlineStr">
        <is>
          <t>UK</t>
        </is>
      </c>
      <c r="H16" t="inlineStr">
        <is>
          <t>GBP</t>
        </is>
      </c>
      <c r="I16" t="n">
        <v>19752</v>
      </c>
      <c r="J16" t="n">
        <v>0</v>
      </c>
      <c r="K16" s="1" t="n">
        <v>47088</v>
      </c>
      <c r="L16">
        <f>VLOOKUP(H16,FX!$A$2:$B$8,2,FALSE)</f>
        <v>1.27</v>
      </c>
      <c r="M16">
        <f>ROUND(I16*L16,2)</f>
        <v>25085.04</v>
      </c>
      <c r="N16">
        <f>VLOOKUP(F16,Ratings!$A$2:$C$7,2,FALSE)</f>
        <v>0.003</v>
      </c>
      <c r="O16">
        <f>VLOOKUP(E16,Products!$A$2:$C$7,2,FALSE)</f>
        <v>0.15</v>
      </c>
      <c r="P16">
        <f>ROUND(M16*N16*O16,2)</f>
        <v>11.29</v>
      </c>
    </row>
    <row r="17">
      <c r="A17" t="inlineStr">
        <is>
          <t>R00016</t>
        </is>
      </c>
      <c r="B17" t="inlineStr">
        <is>
          <t>Borealis Corp</t>
        </is>
      </c>
      <c r="C17" t="inlineStr">
        <is>
          <t>Retail</t>
        </is>
      </c>
      <c r="D17" t="inlineStr">
        <is>
          <t>EMEA</t>
        </is>
      </c>
      <c r="E17" t="inlineStr">
        <is>
          <t>Credit Card</t>
        </is>
      </c>
      <c r="F17" t="inlineStr">
        <is>
          <t>A</t>
        </is>
      </c>
      <c r="G17" t="inlineStr">
        <is>
          <t>FR</t>
        </is>
      </c>
      <c r="H17" t="inlineStr">
        <is>
          <t>EUR</t>
        </is>
      </c>
      <c r="I17" t="n">
        <v>254832</v>
      </c>
      <c r="J17" t="n">
        <v>76450</v>
      </c>
      <c r="K17" s="1" t="n">
        <v>49222</v>
      </c>
      <c r="L17">
        <f>VLOOKUP(H17,FX!$A$2:$B$8,2,FALSE)</f>
        <v>1.08</v>
      </c>
      <c r="M17">
        <f>ROUND(I17*L17,2)</f>
        <v>275218.56</v>
      </c>
      <c r="N17">
        <f>VLOOKUP(F17,Ratings!$A$2:$C$7,2,FALSE)</f>
        <v>0.003</v>
      </c>
      <c r="O17">
        <f>VLOOKUP(E17,Products!$A$2:$C$7,2,FALSE)</f>
        <v>0.65</v>
      </c>
      <c r="P17">
        <f>ROUND(M17*N17*O17,2)</f>
        <v>536.68</v>
      </c>
    </row>
    <row r="18">
      <c r="A18" t="inlineStr">
        <is>
          <t>R00017</t>
        </is>
      </c>
      <c r="B18" t="inlineStr">
        <is>
          <t>Quartz Corp</t>
        </is>
      </c>
      <c r="C18" t="inlineStr">
        <is>
          <t>Retail</t>
        </is>
      </c>
      <c r="D18" t="inlineStr">
        <is>
          <t>EMEA</t>
        </is>
      </c>
      <c r="E18" t="inlineStr">
        <is>
          <t>Mortgage</t>
        </is>
      </c>
      <c r="F18" t="inlineStr">
        <is>
          <t>BB</t>
        </is>
      </c>
      <c r="G18" t="inlineStr">
        <is>
          <t>FR</t>
        </is>
      </c>
      <c r="H18" t="inlineStr">
        <is>
          <t>EUR</t>
        </is>
      </c>
      <c r="I18" t="n">
        <v>386489</v>
      </c>
      <c r="J18" t="n">
        <v>0</v>
      </c>
      <c r="K18" s="1" t="n">
        <v>46611</v>
      </c>
      <c r="L18">
        <f>VLOOKUP(H18,FX!$A$2:$B$8,2,FALSE)</f>
        <v>1.08</v>
      </c>
      <c r="M18">
        <f>ROUND(I18*L18,2)</f>
        <v>417408.12</v>
      </c>
      <c r="N18">
        <f>VLOOKUP(F18,Ratings!$A$2:$C$7,2,FALSE)</f>
        <v>0.04</v>
      </c>
      <c r="O18">
        <f>VLOOKUP(E18,Products!$A$2:$C$7,2,FALSE)</f>
        <v>0.15</v>
      </c>
      <c r="P18">
        <f>ROUND(M18*N18*O18,2)</f>
        <v>2504.45</v>
      </c>
    </row>
    <row r="19">
      <c r="A19" t="inlineStr">
        <is>
          <t>R00018</t>
        </is>
      </c>
      <c r="B19" t="inlineStr">
        <is>
          <t>Pinnacle Ltd</t>
        </is>
      </c>
      <c r="C19" t="inlineStr">
        <is>
          <t>Retail</t>
        </is>
      </c>
      <c r="D19" t="inlineStr">
        <is>
          <t>EMEA</t>
        </is>
      </c>
      <c r="E19" t="inlineStr">
        <is>
          <t>Mortgage</t>
        </is>
      </c>
      <c r="F19" t="inlineStr">
        <is>
          <t>B</t>
        </is>
      </c>
      <c r="G19" t="inlineStr">
        <is>
          <t>UK</t>
        </is>
      </c>
      <c r="H19" t="inlineStr">
        <is>
          <t>GBP</t>
        </is>
      </c>
      <c r="I19" t="n">
        <v>1298053</v>
      </c>
      <c r="J19" t="n">
        <v>389416</v>
      </c>
      <c r="K19" s="1" t="n">
        <v>47545</v>
      </c>
      <c r="L19">
        <f>VLOOKUP(H19,FX!$A$2:$B$8,2,FALSE)</f>
        <v>1.27</v>
      </c>
      <c r="M19">
        <f>ROUND(I19*L19,2)</f>
        <v>1648527.31</v>
      </c>
      <c r="N19">
        <f>VLOOKUP(F19,Ratings!$A$2:$C$7,2,FALSE)</f>
        <v>0.1</v>
      </c>
      <c r="O19">
        <f>VLOOKUP(E19,Products!$A$2:$C$7,2,FALSE)</f>
        <v>0.15</v>
      </c>
      <c r="P19">
        <f>ROUND(M19*N19*O19,2)</f>
        <v>24727.91</v>
      </c>
    </row>
    <row r="20">
      <c r="A20" t="inlineStr">
        <is>
          <t>R00019</t>
        </is>
      </c>
      <c r="B20" t="inlineStr">
        <is>
          <t>Everest Group</t>
        </is>
      </c>
      <c r="C20" t="inlineStr">
        <is>
          <t>Retail</t>
        </is>
      </c>
      <c r="D20" t="inlineStr">
        <is>
          <t>EMEA</t>
        </is>
      </c>
      <c r="E20" t="inlineStr">
        <is>
          <t>Personal Loan</t>
        </is>
      </c>
      <c r="F20" t="inlineStr">
        <is>
          <t>A</t>
        </is>
      </c>
      <c r="G20" t="inlineStr">
        <is>
          <t>AE</t>
        </is>
      </c>
      <c r="H20" t="inlineStr">
        <is>
          <t>AED</t>
        </is>
      </c>
      <c r="I20" t="n">
        <v>102798</v>
      </c>
      <c r="J20" t="n">
        <v>0</v>
      </c>
      <c r="K20" s="1" t="n">
        <v>47907</v>
      </c>
      <c r="L20">
        <f>VLOOKUP(H20,FX!$A$2:$B$8,2,FALSE)</f>
        <v>0.2723</v>
      </c>
      <c r="M20">
        <f>ROUND(I20*L20,2)</f>
        <v>27991.9</v>
      </c>
      <c r="N20">
        <f>VLOOKUP(F20,Ratings!$A$2:$C$7,2,FALSE)</f>
        <v>0.003</v>
      </c>
      <c r="O20">
        <f>VLOOKUP(E20,Products!$A$2:$C$7,2,FALSE)</f>
        <v>0.45</v>
      </c>
      <c r="P20">
        <f>ROUND(M20*N20*O20,2)</f>
        <v>37.79</v>
      </c>
    </row>
    <row r="21">
      <c r="A21" t="inlineStr">
        <is>
          <t>R00020</t>
        </is>
      </c>
      <c r="B21" t="inlineStr">
        <is>
          <t>Meridian Holdings</t>
        </is>
      </c>
      <c r="C21" t="inlineStr">
        <is>
          <t>Retail</t>
        </is>
      </c>
      <c r="D21" t="inlineStr">
        <is>
          <t>EMEA</t>
        </is>
      </c>
      <c r="E21" t="inlineStr">
        <is>
          <t>Credit Card</t>
        </is>
      </c>
      <c r="F21" t="inlineStr">
        <is>
          <t>BB</t>
        </is>
      </c>
      <c r="G21" t="inlineStr">
        <is>
          <t>UK</t>
        </is>
      </c>
      <c r="H21" t="inlineStr">
        <is>
          <t>GBP</t>
        </is>
      </c>
      <c r="I21" t="n">
        <v>850463</v>
      </c>
      <c r="J21" t="n">
        <v>0</v>
      </c>
      <c r="K21" s="1" t="n">
        <v>48978</v>
      </c>
      <c r="L21">
        <f>VLOOKUP(H21,FX!$A$2:$B$8,2,FALSE)</f>
        <v>1.27</v>
      </c>
      <c r="M21">
        <f>ROUND(I21*L21,2)</f>
        <v>1080088.01</v>
      </c>
      <c r="N21">
        <f>VLOOKUP(F21,Ratings!$A$2:$C$7,2,FALSE)</f>
        <v>0.04</v>
      </c>
      <c r="O21">
        <f>VLOOKUP(E21,Products!$A$2:$C$7,2,FALSE)</f>
        <v>0.65</v>
      </c>
      <c r="P21">
        <f>ROUND(M21*N21*O21,2)</f>
        <v>28082.29</v>
      </c>
    </row>
    <row r="22">
      <c r="A22" t="inlineStr">
        <is>
          <t>R00021</t>
        </is>
      </c>
      <c r="B22" t="inlineStr">
        <is>
          <t>Meridian Holdings</t>
        </is>
      </c>
      <c r="C22" t="inlineStr">
        <is>
          <t>Retail</t>
        </is>
      </c>
      <c r="D22" t="inlineStr">
        <is>
          <t>EMEA</t>
        </is>
      </c>
      <c r="E22" t="inlineStr">
        <is>
          <t>Credit Card</t>
        </is>
      </c>
      <c r="F22" t="inlineStr">
        <is>
          <t>BBB</t>
        </is>
      </c>
      <c r="G22" t="inlineStr">
        <is>
          <t>UK</t>
        </is>
      </c>
      <c r="H22" t="inlineStr">
        <is>
          <t>GBP</t>
        </is>
      </c>
      <c r="I22" t="n">
        <v>341077</v>
      </c>
      <c r="J22" t="n">
        <v>204646</v>
      </c>
      <c r="K22" s="1" t="n">
        <v>48992</v>
      </c>
      <c r="L22">
        <f>VLOOKUP(H22,FX!$A$2:$B$8,2,FALSE)</f>
        <v>1.27</v>
      </c>
      <c r="M22">
        <f>ROUND(I22*L22,2)</f>
        <v>433167.79</v>
      </c>
      <c r="N22">
        <f>VLOOKUP(F22,Ratings!$A$2:$C$7,2,FALSE)</f>
        <v>0.01</v>
      </c>
      <c r="O22">
        <f>VLOOKUP(E22,Products!$A$2:$C$7,2,FALSE)</f>
        <v>0.65</v>
      </c>
      <c r="P22">
        <f>ROUND(M22*N22*O22,2)</f>
        <v>2815.59</v>
      </c>
    </row>
    <row r="23">
      <c r="A23" t="inlineStr">
        <is>
          <t>R00022</t>
        </is>
      </c>
      <c r="B23" t="inlineStr">
        <is>
          <t>Harbor Ltd</t>
        </is>
      </c>
      <c r="C23" t="inlineStr">
        <is>
          <t>Retail</t>
        </is>
      </c>
      <c r="D23" t="inlineStr">
        <is>
          <t>EMEA</t>
        </is>
      </c>
      <c r="E23" t="inlineStr">
        <is>
          <t>Personal Loan</t>
        </is>
      </c>
      <c r="F23" t="inlineStr">
        <is>
          <t>BBB</t>
        </is>
      </c>
      <c r="G23" t="inlineStr">
        <is>
          <t>FR</t>
        </is>
      </c>
      <c r="H23" t="inlineStr">
        <is>
          <t>EUR</t>
        </is>
      </c>
      <c r="I23" t="n">
        <v>4943</v>
      </c>
      <c r="J23" t="n">
        <v>4449</v>
      </c>
      <c r="K23" s="1" t="n">
        <v>47969</v>
      </c>
      <c r="L23">
        <f>VLOOKUP(H23,FX!$A$2:$B$8,2,FALSE)</f>
        <v>1.08</v>
      </c>
      <c r="M23">
        <f>ROUND(I23*L23,2)</f>
        <v>5338.44</v>
      </c>
      <c r="N23">
        <f>VLOOKUP(F23,Ratings!$A$2:$C$7,2,FALSE)</f>
        <v>0.01</v>
      </c>
      <c r="O23">
        <f>VLOOKUP(E23,Products!$A$2:$C$7,2,FALSE)</f>
        <v>0.45</v>
      </c>
      <c r="P23">
        <f>ROUND(M23*N23*O23,2)</f>
        <v>24.02</v>
      </c>
    </row>
    <row r="24">
      <c r="A24" t="inlineStr">
        <is>
          <t>R00023</t>
        </is>
      </c>
      <c r="B24" t="inlineStr">
        <is>
          <t>Falcon Group</t>
        </is>
      </c>
      <c r="C24" t="inlineStr">
        <is>
          <t>Retail</t>
        </is>
      </c>
      <c r="D24" t="inlineStr">
        <is>
          <t>EMEA</t>
        </is>
      </c>
      <c r="E24" t="inlineStr">
        <is>
          <t>Mortgage</t>
        </is>
      </c>
      <c r="F24" t="inlineStr">
        <is>
          <t>B</t>
        </is>
      </c>
      <c r="G24" t="inlineStr">
        <is>
          <t>FR</t>
        </is>
      </c>
      <c r="H24" t="inlineStr">
        <is>
          <t>EUR</t>
        </is>
      </c>
      <c r="I24" t="n">
        <v>985854</v>
      </c>
      <c r="J24" t="n">
        <v>591512</v>
      </c>
      <c r="K24" s="1" t="n">
        <v>47949</v>
      </c>
      <c r="L24">
        <f>VLOOKUP(H24,FX!$A$2:$B$8,2,FALSE)</f>
        <v>1.08</v>
      </c>
      <c r="M24">
        <f>ROUND(I24*L24,2)</f>
        <v>1064722.32</v>
      </c>
      <c r="N24">
        <f>VLOOKUP(F24,Ratings!$A$2:$C$7,2,FALSE)</f>
        <v>0.1</v>
      </c>
      <c r="O24">
        <f>VLOOKUP(E24,Products!$A$2:$C$7,2,FALSE)</f>
        <v>0.15</v>
      </c>
      <c r="P24">
        <f>ROUND(M24*N24*O24,2)</f>
        <v>15970.83</v>
      </c>
    </row>
    <row r="25">
      <c r="A25" t="inlineStr">
        <is>
          <t>R00024</t>
        </is>
      </c>
      <c r="B25" t="inlineStr">
        <is>
          <t>Granite Corp</t>
        </is>
      </c>
      <c r="C25" t="inlineStr">
        <is>
          <t>Retail</t>
        </is>
      </c>
      <c r="D25" t="inlineStr">
        <is>
          <t>EMEA</t>
        </is>
      </c>
      <c r="E25" t="inlineStr">
        <is>
          <t>Mortgage</t>
        </is>
      </c>
      <c r="F25" t="inlineStr">
        <is>
          <t>BBB</t>
        </is>
      </c>
      <c r="G25" t="inlineStr">
        <is>
          <t>FR</t>
        </is>
      </c>
      <c r="H25" t="inlineStr">
        <is>
          <t>EUR</t>
        </is>
      </c>
      <c r="I25" t="n">
        <v>354668</v>
      </c>
      <c r="J25" t="n">
        <v>0</v>
      </c>
      <c r="K25" s="1" t="n">
        <v>49102</v>
      </c>
      <c r="L25">
        <f>VLOOKUP(H25,FX!$A$2:$B$8,2,FALSE)</f>
        <v>1.08</v>
      </c>
      <c r="M25">
        <f>ROUND(I25*L25,2)</f>
        <v>383041.44</v>
      </c>
      <c r="N25">
        <f>VLOOKUP(F25,Ratings!$A$2:$C$7,2,FALSE)</f>
        <v>0.01</v>
      </c>
      <c r="O25">
        <f>VLOOKUP(E25,Products!$A$2:$C$7,2,FALSE)</f>
        <v>0.15</v>
      </c>
      <c r="P25">
        <f>ROUND(M25*N25*O25,2)</f>
        <v>574.56</v>
      </c>
    </row>
    <row r="26">
      <c r="A26" t="inlineStr">
        <is>
          <t>R00025</t>
        </is>
      </c>
      <c r="B26" t="inlineStr">
        <is>
          <t>Borealis Ltd</t>
        </is>
      </c>
      <c r="C26" t="inlineStr">
        <is>
          <t>Retail</t>
        </is>
      </c>
      <c r="D26" t="inlineStr">
        <is>
          <t>EMEA</t>
        </is>
      </c>
      <c r="E26" t="inlineStr">
        <is>
          <t>Credit Card</t>
        </is>
      </c>
      <c r="F26" t="inlineStr">
        <is>
          <t>A</t>
        </is>
      </c>
      <c r="G26" t="inlineStr">
        <is>
          <t>DE</t>
        </is>
      </c>
      <c r="H26" t="inlineStr">
        <is>
          <t>EUR</t>
        </is>
      </c>
      <c r="I26" t="n">
        <v>108203</v>
      </c>
      <c r="J26" t="n">
        <v>0</v>
      </c>
      <c r="K26" s="1" t="n">
        <v>46615</v>
      </c>
      <c r="L26">
        <f>VLOOKUP(H26,FX!$A$2:$B$8,2,FALSE)</f>
        <v>1.08</v>
      </c>
      <c r="M26">
        <f>ROUND(I26*L26,2)</f>
        <v>116859.24</v>
      </c>
      <c r="N26">
        <f>VLOOKUP(F26,Ratings!$A$2:$C$7,2,FALSE)</f>
        <v>0.003</v>
      </c>
      <c r="O26">
        <f>VLOOKUP(E26,Products!$A$2:$C$7,2,FALSE)</f>
        <v>0.65</v>
      </c>
      <c r="P26">
        <f>ROUND(M26*N26*O26,2)</f>
        <v>227.88</v>
      </c>
    </row>
    <row r="27">
      <c r="A27" t="inlineStr">
        <is>
          <t>R00026</t>
        </is>
      </c>
      <c r="B27" t="inlineStr">
        <is>
          <t>Pinnacle Group</t>
        </is>
      </c>
      <c r="C27" t="inlineStr">
        <is>
          <t>Retail</t>
        </is>
      </c>
      <c r="D27" t="inlineStr">
        <is>
          <t>EMEA</t>
        </is>
      </c>
      <c r="E27" t="inlineStr">
        <is>
          <t>Credit Card</t>
        </is>
      </c>
      <c r="F27" t="inlineStr">
        <is>
          <t>B</t>
        </is>
      </c>
      <c r="G27" t="inlineStr">
        <is>
          <t>DE</t>
        </is>
      </c>
      <c r="H27" t="inlineStr">
        <is>
          <t>EUR</t>
        </is>
      </c>
      <c r="I27" t="n">
        <v>322632</v>
      </c>
      <c r="J27" t="n">
        <v>290369</v>
      </c>
      <c r="K27" s="1" t="n">
        <v>48002</v>
      </c>
      <c r="L27">
        <f>VLOOKUP(H27,FX!$A$2:$B$8,2,FALSE)</f>
        <v>1.08</v>
      </c>
      <c r="M27">
        <f>ROUND(I27*L27,2)</f>
        <v>348442.56</v>
      </c>
      <c r="N27">
        <f>VLOOKUP(F27,Ratings!$A$2:$C$7,2,FALSE)</f>
        <v>0.1</v>
      </c>
      <c r="O27">
        <f>VLOOKUP(E27,Products!$A$2:$C$7,2,FALSE)</f>
        <v>0.65</v>
      </c>
      <c r="P27">
        <f>ROUND(M27*N27*O27,2)</f>
        <v>22648.77</v>
      </c>
    </row>
    <row r="28">
      <c r="A28" t="inlineStr">
        <is>
          <t>R00027</t>
        </is>
      </c>
      <c r="B28" t="inlineStr">
        <is>
          <t>Indigo Group</t>
        </is>
      </c>
      <c r="C28" t="inlineStr">
        <is>
          <t>Retail</t>
        </is>
      </c>
      <c r="D28" t="inlineStr">
        <is>
          <t>EMEA</t>
        </is>
      </c>
      <c r="E28" t="inlineStr">
        <is>
          <t>Personal Loan</t>
        </is>
      </c>
      <c r="F28" t="inlineStr">
        <is>
          <t>A</t>
        </is>
      </c>
      <c r="G28" t="inlineStr">
        <is>
          <t>FR</t>
        </is>
      </c>
      <c r="H28" t="inlineStr">
        <is>
          <t>EUR</t>
        </is>
      </c>
      <c r="I28" t="n">
        <v>5535</v>
      </c>
      <c r="J28" t="n">
        <v>4982</v>
      </c>
      <c r="K28" s="1" t="n">
        <v>46696</v>
      </c>
      <c r="L28">
        <f>VLOOKUP(H28,FX!$A$2:$B$8,2,FALSE)</f>
        <v>1.08</v>
      </c>
      <c r="M28">
        <f>ROUND(I28*L28,2)</f>
        <v>5977.8</v>
      </c>
      <c r="N28">
        <f>VLOOKUP(F28,Ratings!$A$2:$C$7,2,FALSE)</f>
        <v>0.003</v>
      </c>
      <c r="O28">
        <f>VLOOKUP(E28,Products!$A$2:$C$7,2,FALSE)</f>
        <v>0.45</v>
      </c>
      <c r="P28">
        <f>ROUND(M28*N28*O28,2)</f>
        <v>8.07</v>
      </c>
    </row>
    <row r="29">
      <c r="A29" t="inlineStr">
        <is>
          <t>R00028</t>
        </is>
      </c>
      <c r="B29" t="inlineStr">
        <is>
          <t>Indigo Corp</t>
        </is>
      </c>
      <c r="C29" t="inlineStr">
        <is>
          <t>Retail</t>
        </is>
      </c>
      <c r="D29" t="inlineStr">
        <is>
          <t>EMEA</t>
        </is>
      </c>
      <c r="E29" t="inlineStr">
        <is>
          <t>Mortgage</t>
        </is>
      </c>
      <c r="F29" t="inlineStr">
        <is>
          <t>AA</t>
        </is>
      </c>
      <c r="G29" t="inlineStr">
        <is>
          <t>AE</t>
        </is>
      </c>
      <c r="H29" t="inlineStr">
        <is>
          <t>AED</t>
        </is>
      </c>
      <c r="I29" t="n">
        <v>5808</v>
      </c>
      <c r="J29" t="n">
        <v>0</v>
      </c>
      <c r="K29" s="1" t="n">
        <v>46603</v>
      </c>
      <c r="L29">
        <f>VLOOKUP(H29,FX!$A$2:$B$8,2,FALSE)</f>
        <v>0.2723</v>
      </c>
      <c r="M29">
        <f>ROUND(I29*L29,2)</f>
        <v>1581.52</v>
      </c>
      <c r="N29">
        <f>VLOOKUP(F29,Ratings!$A$2:$C$7,2,FALSE)</f>
        <v>0.001</v>
      </c>
      <c r="O29">
        <f>VLOOKUP(E29,Products!$A$2:$C$7,2,FALSE)</f>
        <v>0.15</v>
      </c>
      <c r="P29">
        <f>ROUND(M29*N29*O29,2)</f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Country_Risk</t>
        </is>
      </c>
      <c r="O1" t="inlineStr">
        <is>
          <t>Risk_Weight</t>
        </is>
      </c>
      <c r="P1" t="inlineStr">
        <is>
          <t>RWA</t>
        </is>
      </c>
      <c r="Q1" t="inlineStr">
        <is>
          <t>Review_Flag</t>
        </is>
      </c>
    </row>
    <row r="2">
      <c r="A2" t="inlineStr">
        <is>
          <t>R01001</t>
        </is>
      </c>
      <c r="B2" t="inlineStr">
        <is>
          <t>Pinnacle Group</t>
        </is>
      </c>
      <c r="C2" t="inlineStr">
        <is>
          <t>Retail</t>
        </is>
      </c>
      <c r="D2" t="inlineStr">
        <is>
          <t>APAC</t>
        </is>
      </c>
      <c r="E2" t="inlineStr">
        <is>
          <t>Personal Loan</t>
        </is>
      </c>
      <c r="F2" t="inlineStr">
        <is>
          <t>AA</t>
        </is>
      </c>
      <c r="G2" t="inlineStr">
        <is>
          <t>SG</t>
        </is>
      </c>
      <c r="H2" t="inlineStr">
        <is>
          <t>SGD</t>
        </is>
      </c>
      <c r="I2" t="n">
        <v>16392</v>
      </c>
      <c r="J2" t="n">
        <v>0</v>
      </c>
      <c r="K2" s="1" t="n">
        <v>48114</v>
      </c>
      <c r="L2">
        <f>VLOOKUP(H2,FX!$A$2:$B$8,2,FALSE)</f>
        <v>0.74</v>
      </c>
      <c r="M2">
        <f>ROUND(I2*L2,2)</f>
        <v>12130.08</v>
      </c>
      <c r="N2" t="str">
        <f>VLOOKUP(G2,Countries!$A$2:$C$13,3,FALSE)</f>
        <v>Low</v>
      </c>
      <c r="O2">
        <f>VLOOKUP(F2,Ratings!$A$2:$C$7,3,FALSE)</f>
        <v>0.2</v>
      </c>
      <c r="P2">
        <f>ROUND(M2*O2,2)</f>
        <v>2426.02</v>
      </c>
      <c r="Q2" t="str">
        <f>IF(N2="High","Review","OK")</f>
        <v>OK</v>
      </c>
    </row>
    <row r="3">
      <c r="A3" t="inlineStr">
        <is>
          <t>R01002</t>
        </is>
      </c>
      <c r="B3" t="inlineStr">
        <is>
          <t>Redwood Corp</t>
        </is>
      </c>
      <c r="C3" t="inlineStr">
        <is>
          <t>Retail</t>
        </is>
      </c>
      <c r="D3" t="inlineStr">
        <is>
          <t>APAC</t>
        </is>
      </c>
      <c r="E3" t="inlineStr">
        <is>
          <t>Mortgage</t>
        </is>
      </c>
      <c r="F3" t="inlineStr">
        <is>
          <t>BBB</t>
        </is>
      </c>
      <c r="G3" t="inlineStr">
        <is>
          <t>IN</t>
        </is>
      </c>
      <c r="H3" t="inlineStr">
        <is>
          <t>INR</t>
        </is>
      </c>
      <c r="I3" t="n">
        <v>105044</v>
      </c>
      <c r="J3" t="n">
        <v>0</v>
      </c>
      <c r="K3" s="1" t="n">
        <v>46592</v>
      </c>
      <c r="L3">
        <f>VLOOKUP(H3,FX!$A$2:$B$8,2,FALSE)</f>
        <v>0.012</v>
      </c>
      <c r="M3">
        <f>ROUND(I3*L3,2)</f>
        <v>1260.53</v>
      </c>
      <c r="N3" t="str">
        <f>VLOOKUP(G3,Countries!$A$2:$C$13,3,FALSE)</f>
        <v>Medium</v>
      </c>
      <c r="O3">
        <f>VLOOKUP(F3,Ratings!$A$2:$C$7,3,FALSE)</f>
        <v>1</v>
      </c>
      <c r="P3">
        <f>ROUND(M3*O3,2)</f>
        <v>1260.53</v>
      </c>
      <c r="Q3" t="str">
        <f>IF(N3="High","Review","OK")</f>
        <v>OK</v>
      </c>
    </row>
    <row r="4">
      <c r="A4" t="inlineStr">
        <is>
          <t>R01003</t>
        </is>
      </c>
      <c r="B4" t="inlineStr">
        <is>
          <t>Atlas Holdings</t>
        </is>
      </c>
      <c r="C4" t="inlineStr">
        <is>
          <t>Retail</t>
        </is>
      </c>
      <c r="D4" t="inlineStr">
        <is>
          <t>APAC</t>
        </is>
      </c>
      <c r="E4" t="inlineStr">
        <is>
          <t>Credit Card</t>
        </is>
      </c>
      <c r="F4" t="inlineStr">
        <is>
          <t>BB</t>
        </is>
      </c>
      <c r="G4" t="inlineStr">
        <is>
          <t>IN</t>
        </is>
      </c>
      <c r="H4" t="inlineStr">
        <is>
          <t>INR</t>
        </is>
      </c>
      <c r="I4" t="n">
        <v>245438</v>
      </c>
      <c r="J4" t="n">
        <v>220894</v>
      </c>
      <c r="K4" s="1" t="n">
        <v>49110</v>
      </c>
      <c r="L4">
        <f>VLOOKUP(H4,FX!$A$2:$B$8,2,FALSE)</f>
        <v>0.012</v>
      </c>
      <c r="M4">
        <f>ROUND(I4*L4,2)</f>
        <v>2945.26</v>
      </c>
      <c r="N4" t="str">
        <f>VLOOKUP(G4,Countries!$A$2:$C$13,3,FALSE)</f>
        <v>Medium</v>
      </c>
      <c r="O4">
        <f>VLOOKUP(F4,Ratings!$A$2:$C$7,3,FALSE)</f>
        <v>1</v>
      </c>
      <c r="P4">
        <f>ROUND(M4*O4,2)</f>
        <v>2945.26</v>
      </c>
      <c r="Q4" t="str">
        <f>IF(N4="High","Review","OK")</f>
        <v>OK</v>
      </c>
    </row>
    <row r="5">
      <c r="A5" t="inlineStr">
        <is>
          <t>R01004</t>
        </is>
      </c>
      <c r="B5" t="inlineStr">
        <is>
          <t>Meridian Ltd</t>
        </is>
      </c>
      <c r="C5" t="inlineStr">
        <is>
          <t>Retail</t>
        </is>
      </c>
      <c r="D5" t="inlineStr">
        <is>
          <t>APAC</t>
        </is>
      </c>
      <c r="E5" t="inlineStr">
        <is>
          <t>Mortgage</t>
        </is>
      </c>
      <c r="F5" t="inlineStr">
        <is>
          <t>A</t>
        </is>
      </c>
      <c r="G5" t="inlineStr">
        <is>
          <t>IN</t>
        </is>
      </c>
      <c r="H5" t="inlineStr">
        <is>
          <t>INR</t>
        </is>
      </c>
      <c r="I5" t="n">
        <v>4140</v>
      </c>
      <c r="J5" t="n">
        <v>3726</v>
      </c>
      <c r="K5" s="1" t="n">
        <v>47626</v>
      </c>
      <c r="L5">
        <f>VLOOKUP(H5,FX!$A$2:$B$8,2,FALSE)</f>
        <v>0.012</v>
      </c>
      <c r="M5">
        <f>ROUND(I5*L5,2)</f>
        <v>49.68</v>
      </c>
      <c r="N5" t="str">
        <f>VLOOKUP(G5,Countries!$A$2:$C$13,3,FALSE)</f>
        <v>Medium</v>
      </c>
      <c r="O5">
        <f>VLOOKUP(F5,Ratings!$A$2:$C$7,3,FALSE)</f>
        <v>0.5</v>
      </c>
      <c r="P5">
        <f>ROUND(M5*O5,2)</f>
        <v>24.84</v>
      </c>
      <c r="Q5" t="str">
        <f>IF(N5="High","Review","OK")</f>
        <v>OK</v>
      </c>
    </row>
    <row r="6">
      <c r="A6" t="inlineStr">
        <is>
          <t>R01005</t>
        </is>
      </c>
      <c r="B6" t="inlineStr">
        <is>
          <t>Keystone Holdings</t>
        </is>
      </c>
      <c r="C6" t="inlineStr">
        <is>
          <t>Retail</t>
        </is>
      </c>
      <c r="D6" t="inlineStr">
        <is>
          <t>APAC</t>
        </is>
      </c>
      <c r="E6" t="inlineStr">
        <is>
          <t>Personal Loan</t>
        </is>
      </c>
      <c r="F6" t="inlineStr">
        <is>
          <t>A</t>
        </is>
      </c>
      <c r="G6" t="inlineStr">
        <is>
          <t>JP</t>
        </is>
      </c>
      <c r="H6" t="inlineStr">
        <is>
          <t>JPY</t>
        </is>
      </c>
      <c r="I6" t="n">
        <v>3611</v>
      </c>
      <c r="J6" t="n">
        <v>2167</v>
      </c>
      <c r="K6" s="1" t="n">
        <v>46503</v>
      </c>
      <c r="L6">
        <f>VLOOKUP(H6,FX!$A$2:$B$8,2,FALSE)</f>
        <v>0.0067</v>
      </c>
      <c r="M6">
        <f>ROUND(I6*L6,2)</f>
        <v>24.19</v>
      </c>
      <c r="N6" t="str">
        <f>VLOOKUP(G6,Countries!$A$2:$C$13,3,FALSE)</f>
        <v>Low</v>
      </c>
      <c r="O6">
        <f>VLOOKUP(F6,Ratings!$A$2:$C$7,3,FALSE)</f>
        <v>0.5</v>
      </c>
      <c r="P6">
        <f>ROUND(M6*O6,2)</f>
        <v>12.1</v>
      </c>
      <c r="Q6" t="str">
        <f>IF(N6="High","Review","OK")</f>
        <v>OK</v>
      </c>
    </row>
    <row r="7">
      <c r="A7" t="inlineStr">
        <is>
          <t>R01006</t>
        </is>
      </c>
      <c r="B7" t="inlineStr">
        <is>
          <t>Everest Holdings</t>
        </is>
      </c>
      <c r="C7" t="inlineStr">
        <is>
          <t>Retail</t>
        </is>
      </c>
      <c r="D7" t="inlineStr">
        <is>
          <t>APAC</t>
        </is>
      </c>
      <c r="E7" t="inlineStr">
        <is>
          <t>Mortgage</t>
        </is>
      </c>
      <c r="F7" t="inlineStr">
        <is>
          <t>AA</t>
        </is>
      </c>
      <c r="G7" t="inlineStr">
        <is>
          <t>ID</t>
        </is>
      </c>
      <c r="H7" t="inlineStr">
        <is>
          <t>USD</t>
        </is>
      </c>
      <c r="I7" t="n">
        <v>20397</v>
      </c>
      <c r="J7" t="n">
        <v>18357</v>
      </c>
      <c r="K7" s="1" t="n">
        <v>49271</v>
      </c>
      <c r="L7">
        <f>VLOOKUP(H7,FX!$A$2:$B$8,2,FALSE)</f>
        <v>1</v>
      </c>
      <c r="M7">
        <f>ROUND(I7*L7,2)</f>
        <v>20397</v>
      </c>
      <c r="N7" t="str">
        <f>VLOOKUP(G7,Countries!$A$2:$C$13,3,FALSE)</f>
        <v>High</v>
      </c>
      <c r="O7">
        <f>VLOOKUP(F7,Ratings!$A$2:$C$7,3,FALSE)</f>
        <v>0.2</v>
      </c>
      <c r="P7">
        <f>ROUND(M7*O7,2)</f>
        <v>4079.4</v>
      </c>
      <c r="Q7" t="str">
        <f>IF(N7="High","Review","OK")</f>
        <v>Review</v>
      </c>
    </row>
    <row r="8">
      <c r="A8" t="inlineStr">
        <is>
          <t>R01007</t>
        </is>
      </c>
      <c r="B8" t="inlineStr">
        <is>
          <t>Orion Group</t>
        </is>
      </c>
      <c r="C8" t="inlineStr">
        <is>
          <t>Retail</t>
        </is>
      </c>
      <c r="D8" t="inlineStr">
        <is>
          <t>APAC</t>
        </is>
      </c>
      <c r="E8" t="inlineStr">
        <is>
          <t>Personal Loan</t>
        </is>
      </c>
      <c r="F8" t="inlineStr">
        <is>
          <t>B</t>
        </is>
      </c>
      <c r="G8" t="inlineStr">
        <is>
          <t>ID</t>
        </is>
      </c>
      <c r="H8" t="inlineStr">
        <is>
          <t>USD</t>
        </is>
      </c>
      <c r="I8" t="n">
        <v>5774</v>
      </c>
      <c r="J8" t="n">
        <v>5197</v>
      </c>
      <c r="K8" s="1" t="n">
        <v>47013</v>
      </c>
      <c r="L8">
        <f>VLOOKUP(H8,FX!$A$2:$B$8,2,FALSE)</f>
        <v>1</v>
      </c>
      <c r="M8">
        <f>ROUND(I8*L8,2)</f>
        <v>5774</v>
      </c>
      <c r="N8" t="str">
        <f>VLOOKUP(G8,Countries!$A$2:$C$13,3,FALSE)</f>
        <v>High</v>
      </c>
      <c r="O8">
        <f>VLOOKUP(F8,Ratings!$A$2:$C$7,3,FALSE)</f>
        <v>1.5</v>
      </c>
      <c r="P8">
        <f>ROUND(M8*O8,2)</f>
        <v>8661</v>
      </c>
      <c r="Q8" t="str">
        <f>IF(N8="High","Review","OK")</f>
        <v>Review</v>
      </c>
    </row>
    <row r="9">
      <c r="A9" t="inlineStr">
        <is>
          <t>R01008</t>
        </is>
      </c>
      <c r="B9" t="inlineStr">
        <is>
          <t>Titan Corp</t>
        </is>
      </c>
      <c r="C9" t="inlineStr">
        <is>
          <t>Retail</t>
        </is>
      </c>
      <c r="D9" t="inlineStr">
        <is>
          <t>APAC</t>
        </is>
      </c>
      <c r="E9" t="inlineStr">
        <is>
          <t>Personal Loan</t>
        </is>
      </c>
      <c r="F9" t="inlineStr">
        <is>
          <t>A</t>
        </is>
      </c>
      <c r="G9" t="inlineStr">
        <is>
          <t>JP</t>
        </is>
      </c>
      <c r="H9" t="inlineStr">
        <is>
          <t>JPY</t>
        </is>
      </c>
      <c r="I9" t="n">
        <v>381861</v>
      </c>
      <c r="J9" t="n">
        <v>0</v>
      </c>
      <c r="K9" s="1" t="n">
        <v>49196</v>
      </c>
      <c r="L9">
        <f>VLOOKUP(H9,FX!$A$2:$B$8,2,FALSE)</f>
        <v>0.0067</v>
      </c>
      <c r="M9">
        <f>ROUND(I9*L9,2)</f>
        <v>2558.47</v>
      </c>
      <c r="N9" t="str">
        <f>VLOOKUP(G9,Countries!$A$2:$C$13,3,FALSE)</f>
        <v>Low</v>
      </c>
      <c r="O9">
        <f>VLOOKUP(F9,Ratings!$A$2:$C$7,3,FALSE)</f>
        <v>0.5</v>
      </c>
      <c r="P9">
        <f>ROUND(M9*O9,2)</f>
        <v>1279.24</v>
      </c>
      <c r="Q9" t="str">
        <f>IF(N9="High","Review","OK")</f>
        <v>OK</v>
      </c>
    </row>
    <row r="10">
      <c r="A10" t="inlineStr">
        <is>
          <t>R01009</t>
        </is>
      </c>
      <c r="B10" t="inlineStr">
        <is>
          <t>Atlas Holdings</t>
        </is>
      </c>
      <c r="C10" t="inlineStr">
        <is>
          <t>Retail</t>
        </is>
      </c>
      <c r="D10" t="inlineStr">
        <is>
          <t>APAC</t>
        </is>
      </c>
      <c r="E10" t="inlineStr">
        <is>
          <t>Credit Card</t>
        </is>
      </c>
      <c r="F10" t="inlineStr">
        <is>
          <t>AAA</t>
        </is>
      </c>
      <c r="G10" t="inlineStr">
        <is>
          <t>IN</t>
        </is>
      </c>
      <c r="H10" t="inlineStr">
        <is>
          <t>INR</t>
        </is>
      </c>
      <c r="I10" t="n">
        <v>922282</v>
      </c>
      <c r="J10" t="n">
        <v>830054</v>
      </c>
      <c r="K10" s="1" t="n">
        <v>46643</v>
      </c>
      <c r="L10">
        <f>VLOOKUP(H10,FX!$A$2:$B$8,2,FALSE)</f>
        <v>0.012</v>
      </c>
      <c r="M10">
        <f>ROUND(I10*L10,2)</f>
        <v>11067.38</v>
      </c>
      <c r="N10" t="str">
        <f>VLOOKUP(G10,Countries!$A$2:$C$13,3,FALSE)</f>
        <v>Medium</v>
      </c>
      <c r="O10">
        <f>VLOOKUP(F10,Ratings!$A$2:$C$7,3,FALSE)</f>
        <v>0.2</v>
      </c>
      <c r="P10">
        <f>ROUND(M10*O10,2)</f>
        <v>2213.48</v>
      </c>
      <c r="Q10" t="str">
        <f>IF(N10="High","Review","OK")</f>
        <v>OK</v>
      </c>
    </row>
    <row r="11">
      <c r="A11" t="inlineStr">
        <is>
          <t>R01010</t>
        </is>
      </c>
      <c r="B11" t="inlineStr">
        <is>
          <t>Redwood Holdings</t>
        </is>
      </c>
      <c r="C11" t="inlineStr">
        <is>
          <t>Retail</t>
        </is>
      </c>
      <c r="D11" t="inlineStr">
        <is>
          <t>APAC</t>
        </is>
      </c>
      <c r="E11" t="inlineStr">
        <is>
          <t>Mortgage</t>
        </is>
      </c>
      <c r="F11" t="inlineStr">
        <is>
          <t>BBB</t>
        </is>
      </c>
      <c r="G11" t="inlineStr">
        <is>
          <t>ID</t>
        </is>
      </c>
      <c r="H11" t="inlineStr">
        <is>
          <t>USD</t>
        </is>
      </c>
      <c r="I11" t="n">
        <v>14791</v>
      </c>
      <c r="J11" t="n">
        <v>8875</v>
      </c>
      <c r="K11" s="1" t="n">
        <v>47589</v>
      </c>
      <c r="L11">
        <f>VLOOKUP(H11,FX!$A$2:$B$8,2,FALSE)</f>
        <v>1</v>
      </c>
      <c r="M11">
        <f>ROUND(I11*L11,2)</f>
        <v>14791</v>
      </c>
      <c r="N11" t="str">
        <f>VLOOKUP(G11,Countries!$A$2:$C$13,3,FALSE)</f>
        <v>High</v>
      </c>
      <c r="O11">
        <f>VLOOKUP(F11,Ratings!$A$2:$C$7,3,FALSE)</f>
        <v>1</v>
      </c>
      <c r="P11">
        <f>ROUND(M11*O11,2)</f>
        <v>14791</v>
      </c>
      <c r="Q11" t="str">
        <f>IF(N11="High","Review","OK")</f>
        <v>Review</v>
      </c>
    </row>
    <row r="12">
      <c r="A12" t="inlineStr">
        <is>
          <t>R01011</t>
        </is>
      </c>
      <c r="B12" t="inlineStr">
        <is>
          <t>Pinnacle Group</t>
        </is>
      </c>
      <c r="C12" t="inlineStr">
        <is>
          <t>Retail</t>
        </is>
      </c>
      <c r="D12" t="inlineStr">
        <is>
          <t>APAC</t>
        </is>
      </c>
      <c r="E12" t="inlineStr">
        <is>
          <t>Credit Card</t>
        </is>
      </c>
      <c r="F12" t="inlineStr">
        <is>
          <t>AAA</t>
        </is>
      </c>
      <c r="G12" t="inlineStr">
        <is>
          <t>IN</t>
        </is>
      </c>
      <c r="H12" t="inlineStr">
        <is>
          <t>INR</t>
        </is>
      </c>
      <c r="I12" t="n">
        <v>372161</v>
      </c>
      <c r="J12" t="n">
        <v>0</v>
      </c>
      <c r="K12" s="1" t="n">
        <v>48122</v>
      </c>
      <c r="L12">
        <f>VLOOKUP(H12,FX!$A$2:$B$8,2,FALSE)</f>
        <v>0.012</v>
      </c>
      <c r="M12">
        <f>ROUND(I12*L12,2)</f>
        <v>4465.93</v>
      </c>
      <c r="N12" t="str">
        <f>VLOOKUP(G12,Countries!$A$2:$C$13,3,FALSE)</f>
        <v>Medium</v>
      </c>
      <c r="O12">
        <f>VLOOKUP(F12,Ratings!$A$2:$C$7,3,FALSE)</f>
        <v>0.2</v>
      </c>
      <c r="P12">
        <f>ROUND(M12*O12,2)</f>
        <v>893.19</v>
      </c>
      <c r="Q12" t="str">
        <f>IF(N12="High","Review","OK")</f>
        <v>OK</v>
      </c>
    </row>
    <row r="13">
      <c r="A13" t="inlineStr">
        <is>
          <t>R01012</t>
        </is>
      </c>
      <c r="B13" t="inlineStr">
        <is>
          <t>Everest Corp</t>
        </is>
      </c>
      <c r="C13" t="inlineStr">
        <is>
          <t>Retail</t>
        </is>
      </c>
      <c r="D13" t="inlineStr">
        <is>
          <t>APAC</t>
        </is>
      </c>
      <c r="E13" t="inlineStr">
        <is>
          <t>Personal Loan</t>
        </is>
      </c>
      <c r="F13" t="inlineStr">
        <is>
          <t>AAA</t>
        </is>
      </c>
      <c r="G13" t="inlineStr">
        <is>
          <t>IN</t>
        </is>
      </c>
      <c r="H13" t="inlineStr">
        <is>
          <t>INR</t>
        </is>
      </c>
      <c r="I13" t="n">
        <v>3607</v>
      </c>
      <c r="J13" t="n">
        <v>1082</v>
      </c>
      <c r="K13" s="1" t="n">
        <v>47829</v>
      </c>
      <c r="L13">
        <f>VLOOKUP(H13,FX!$A$2:$B$8,2,FALSE)</f>
        <v>0.012</v>
      </c>
      <c r="M13">
        <f>ROUND(I13*L13,2)</f>
        <v>43.28</v>
      </c>
      <c r="N13" t="str">
        <f>VLOOKUP(G13,Countries!$A$2:$C$13,3,FALSE)</f>
        <v>Medium</v>
      </c>
      <c r="O13">
        <f>VLOOKUP(F13,Ratings!$A$2:$C$7,3,FALSE)</f>
        <v>0.2</v>
      </c>
      <c r="P13">
        <f>ROUND(M13*O13,2)</f>
        <v>8.66</v>
      </c>
      <c r="Q13" t="str">
        <f>IF(N13="High","Review","OK")</f>
        <v>OK</v>
      </c>
    </row>
    <row r="14">
      <c r="A14" t="inlineStr">
        <is>
          <t>R01013</t>
        </is>
      </c>
      <c r="B14" t="inlineStr">
        <is>
          <t>Delta Group</t>
        </is>
      </c>
      <c r="C14" t="inlineStr">
        <is>
          <t>Retail</t>
        </is>
      </c>
      <c r="D14" t="inlineStr">
        <is>
          <t>APAC</t>
        </is>
      </c>
      <c r="E14" t="inlineStr">
        <is>
          <t>Mortgage</t>
        </is>
      </c>
      <c r="F14" t="inlineStr">
        <is>
          <t>B</t>
        </is>
      </c>
      <c r="G14" t="inlineStr">
        <is>
          <t>ID</t>
        </is>
      </c>
      <c r="H14" t="inlineStr">
        <is>
          <t>USD</t>
        </is>
      </c>
      <c r="I14" t="n">
        <v>341561</v>
      </c>
      <c r="J14" t="n">
        <v>0</v>
      </c>
      <c r="K14" s="1" t="n">
        <v>49126</v>
      </c>
      <c r="L14">
        <f>VLOOKUP(H14,FX!$A$2:$B$8,2,FALSE)</f>
        <v>1</v>
      </c>
      <c r="M14">
        <f>ROUND(I14*L14,2)</f>
        <v>341561</v>
      </c>
      <c r="N14" t="str">
        <f>VLOOKUP(G14,Countries!$A$2:$C$13,3,FALSE)</f>
        <v>High</v>
      </c>
      <c r="O14">
        <f>VLOOKUP(F14,Ratings!$A$2:$C$7,3,FALSE)</f>
        <v>1.5</v>
      </c>
      <c r="P14">
        <f>ROUND(M14*O14,2)</f>
        <v>512341.5</v>
      </c>
      <c r="Q14" t="str">
        <f>IF(N14="High","Review","OK")</f>
        <v>Review</v>
      </c>
    </row>
    <row r="15">
      <c r="A15" t="inlineStr">
        <is>
          <t>R01014</t>
        </is>
      </c>
      <c r="B15" t="inlineStr">
        <is>
          <t>Granite Corp</t>
        </is>
      </c>
      <c r="C15" t="inlineStr">
        <is>
          <t>Retail</t>
        </is>
      </c>
      <c r="D15" t="inlineStr">
        <is>
          <t>APAC</t>
        </is>
      </c>
      <c r="E15" t="inlineStr">
        <is>
          <t>Personal Loan</t>
        </is>
      </c>
      <c r="F15" t="inlineStr">
        <is>
          <t>BB</t>
        </is>
      </c>
      <c r="G15" t="inlineStr">
        <is>
          <t>ID</t>
        </is>
      </c>
      <c r="H15" t="inlineStr">
        <is>
          <t>USD</t>
        </is>
      </c>
      <c r="I15" t="n">
        <v>955005</v>
      </c>
      <c r="J15" t="n">
        <v>0</v>
      </c>
      <c r="K15" s="1" t="n">
        <v>49236</v>
      </c>
      <c r="L15">
        <f>VLOOKUP(H15,FX!$A$2:$B$8,2,FALSE)</f>
        <v>1</v>
      </c>
      <c r="M15">
        <f>ROUND(I15*L15,2)</f>
        <v>955005</v>
      </c>
      <c r="N15" t="str">
        <f>VLOOKUP(G15,Countries!$A$2:$C$13,3,FALSE)</f>
        <v>High</v>
      </c>
      <c r="O15">
        <f>VLOOKUP(F15,Ratings!$A$2:$C$7,3,FALSE)</f>
        <v>1</v>
      </c>
      <c r="P15">
        <f>ROUND(M15*O15,2)</f>
        <v>955005</v>
      </c>
      <c r="Q15" t="str">
        <f>IF(N15="High","Review","OK")</f>
        <v>Review</v>
      </c>
    </row>
    <row r="16">
      <c r="A16" t="inlineStr">
        <is>
          <t>R01015</t>
        </is>
      </c>
      <c r="B16" t="inlineStr">
        <is>
          <t>Keystone Group</t>
        </is>
      </c>
      <c r="C16" t="inlineStr">
        <is>
          <t>Retail</t>
        </is>
      </c>
      <c r="D16" t="inlineStr">
        <is>
          <t>APAC</t>
        </is>
      </c>
      <c r="E16" t="inlineStr">
        <is>
          <t>Personal Loan</t>
        </is>
      </c>
      <c r="F16" t="inlineStr">
        <is>
          <t>AA</t>
        </is>
      </c>
      <c r="G16" t="inlineStr">
        <is>
          <t>IN</t>
        </is>
      </c>
      <c r="H16" t="inlineStr">
        <is>
          <t>INR</t>
        </is>
      </c>
      <c r="I16" t="n">
        <v>111745</v>
      </c>
      <c r="J16" t="n">
        <v>0</v>
      </c>
      <c r="K16" s="1" t="n">
        <v>46788</v>
      </c>
      <c r="L16">
        <f>VLOOKUP(H16,FX!$A$2:$B$8,2,FALSE)</f>
        <v>0.012</v>
      </c>
      <c r="M16">
        <f>ROUND(I16*L16,2)</f>
        <v>1340.94</v>
      </c>
      <c r="N16" t="str">
        <f>VLOOKUP(G16,Countries!$A$2:$C$13,3,FALSE)</f>
        <v>Medium</v>
      </c>
      <c r="O16">
        <f>VLOOKUP(F16,Ratings!$A$2:$C$7,3,FALSE)</f>
        <v>0.2</v>
      </c>
      <c r="P16">
        <f>ROUND(M16*O16,2)</f>
        <v>268.19</v>
      </c>
      <c r="Q16" t="str">
        <f>IF(N16="High","Review","OK")</f>
        <v>OK</v>
      </c>
    </row>
    <row r="17">
      <c r="A17" t="inlineStr">
        <is>
          <t>R01016</t>
        </is>
      </c>
      <c r="B17" t="inlineStr">
        <is>
          <t>Delta Holdings</t>
        </is>
      </c>
      <c r="C17" t="inlineStr">
        <is>
          <t>Retail</t>
        </is>
      </c>
      <c r="D17" t="inlineStr">
        <is>
          <t>APAC</t>
        </is>
      </c>
      <c r="E17" t="inlineStr">
        <is>
          <t>Personal Loan</t>
        </is>
      </c>
      <c r="F17" t="inlineStr">
        <is>
          <t>BBB</t>
        </is>
      </c>
      <c r="G17" t="inlineStr">
        <is>
          <t>IN</t>
        </is>
      </c>
      <c r="H17" t="inlineStr">
        <is>
          <t>INR</t>
        </is>
      </c>
      <c r="I17" t="n">
        <v>4278</v>
      </c>
      <c r="J17" t="n">
        <v>3850</v>
      </c>
      <c r="K17" s="1" t="n">
        <v>46856</v>
      </c>
      <c r="L17">
        <f>VLOOKUP(H17,FX!$A$2:$B$8,2,FALSE)</f>
        <v>0.012</v>
      </c>
      <c r="M17">
        <f>ROUND(I17*L17,2)</f>
        <v>51.34</v>
      </c>
      <c r="N17" t="str">
        <f>VLOOKUP(G17,Countries!$A$2:$C$13,3,FALSE)</f>
        <v>Medium</v>
      </c>
      <c r="O17">
        <f>VLOOKUP(F17,Ratings!$A$2:$C$7,3,FALSE)</f>
        <v>1</v>
      </c>
      <c r="P17">
        <f>ROUND(M17*O17,2)</f>
        <v>51.34</v>
      </c>
      <c r="Q17" t="str">
        <f>IF(N17="High","Review","OK")</f>
        <v>OK</v>
      </c>
    </row>
    <row r="18">
      <c r="A18" t="inlineStr">
        <is>
          <t>R01017</t>
        </is>
      </c>
      <c r="B18" t="inlineStr">
        <is>
          <t>Lumen Ltd</t>
        </is>
      </c>
      <c r="C18" t="inlineStr">
        <is>
          <t>Retail</t>
        </is>
      </c>
      <c r="D18" t="inlineStr">
        <is>
          <t>APAC</t>
        </is>
      </c>
      <c r="E18" t="inlineStr">
        <is>
          <t>Mortgage</t>
        </is>
      </c>
      <c r="F18" t="inlineStr">
        <is>
          <t>B</t>
        </is>
      </c>
      <c r="G18" t="inlineStr">
        <is>
          <t>SG</t>
        </is>
      </c>
      <c r="H18" t="inlineStr">
        <is>
          <t>SGD</t>
        </is>
      </c>
      <c r="I18" t="n">
        <v>1331316</v>
      </c>
      <c r="J18" t="n">
        <v>1198184</v>
      </c>
      <c r="K18" s="1" t="n">
        <v>47748</v>
      </c>
      <c r="L18">
        <f>VLOOKUP(H18,FX!$A$2:$B$8,2,FALSE)</f>
        <v>0.74</v>
      </c>
      <c r="M18">
        <f>ROUND(I18*L18,2)</f>
        <v>985173.84</v>
      </c>
      <c r="N18" t="str">
        <f>VLOOKUP(G18,Countries!$A$2:$C$13,3,FALSE)</f>
        <v>Low</v>
      </c>
      <c r="O18">
        <f>VLOOKUP(F18,Ratings!$A$2:$C$7,3,FALSE)</f>
        <v>1.5</v>
      </c>
      <c r="P18">
        <f>ROUND(M18*O18,2)</f>
        <v>1477760.76</v>
      </c>
      <c r="Q18" t="str">
        <f>IF(N18="High","Review","OK")</f>
        <v>OK</v>
      </c>
    </row>
    <row r="19">
      <c r="A19" t="inlineStr">
        <is>
          <t>R01018</t>
        </is>
      </c>
      <c r="B19" t="inlineStr">
        <is>
          <t>Redwood Holdings</t>
        </is>
      </c>
      <c r="C19" t="inlineStr">
        <is>
          <t>Retail</t>
        </is>
      </c>
      <c r="D19" t="inlineStr">
        <is>
          <t>APAC</t>
        </is>
      </c>
      <c r="E19" t="inlineStr">
        <is>
          <t>Credit Card</t>
        </is>
      </c>
      <c r="F19" t="inlineStr">
        <is>
          <t>AA</t>
        </is>
      </c>
      <c r="G19" t="inlineStr">
        <is>
          <t>SG</t>
        </is>
      </c>
      <c r="H19" t="inlineStr">
        <is>
          <t>SGD</t>
        </is>
      </c>
      <c r="I19" t="n">
        <v>3573</v>
      </c>
      <c r="J19" t="n">
        <v>0</v>
      </c>
      <c r="K19" s="1" t="n">
        <v>46790</v>
      </c>
      <c r="L19">
        <f>VLOOKUP(H19,FX!$A$2:$B$8,2,FALSE)</f>
        <v>0.74</v>
      </c>
      <c r="M19">
        <f>ROUND(I19*L19,2)</f>
        <v>2644.02</v>
      </c>
      <c r="N19" t="str">
        <f>VLOOKUP(G19,Countries!$A$2:$C$13,3,FALSE)</f>
        <v>Low</v>
      </c>
      <c r="O19">
        <f>VLOOKUP(F19,Ratings!$A$2:$C$7,3,FALSE)</f>
        <v>0.2</v>
      </c>
      <c r="P19">
        <f>ROUND(M19*O19,2)</f>
        <v>528.8</v>
      </c>
      <c r="Q19" t="str">
        <f>IF(N19="High","Review","OK")</f>
        <v>OK</v>
      </c>
    </row>
    <row r="20">
      <c r="A20" t="inlineStr">
        <is>
          <t>R01019</t>
        </is>
      </c>
      <c r="B20" t="inlineStr">
        <is>
          <t>Everest Holdings</t>
        </is>
      </c>
      <c r="C20" t="inlineStr">
        <is>
          <t>Retail</t>
        </is>
      </c>
      <c r="D20" t="inlineStr">
        <is>
          <t>APAC</t>
        </is>
      </c>
      <c r="E20" t="inlineStr">
        <is>
          <t>Credit Card</t>
        </is>
      </c>
      <c r="F20" t="inlineStr">
        <is>
          <t>AAA</t>
        </is>
      </c>
      <c r="G20" t="inlineStr">
        <is>
          <t>IN</t>
        </is>
      </c>
      <c r="H20" t="inlineStr">
        <is>
          <t>INR</t>
        </is>
      </c>
      <c r="I20" t="n">
        <v>5239</v>
      </c>
      <c r="J20" t="n">
        <v>0</v>
      </c>
      <c r="K20" s="1" t="n">
        <v>47679</v>
      </c>
      <c r="L20">
        <f>VLOOKUP(H20,FX!$A$2:$B$8,2,FALSE)</f>
        <v>0.012</v>
      </c>
      <c r="M20">
        <f>ROUND(I20*L20,2)</f>
        <v>62.87</v>
      </c>
      <c r="N20" t="str">
        <f>VLOOKUP(G20,Countries!$A$2:$C$13,3,FALSE)</f>
        <v>Medium</v>
      </c>
      <c r="O20">
        <f>VLOOKUP(F20,Ratings!$A$2:$C$7,3,FALSE)</f>
        <v>0.2</v>
      </c>
      <c r="P20">
        <f>ROUND(M20*O20,2)</f>
        <v>12.57</v>
      </c>
      <c r="Q20" t="str">
        <f>IF(N20="High","Review","OK")</f>
        <v>OK</v>
      </c>
    </row>
    <row r="21">
      <c r="A21" t="inlineStr">
        <is>
          <t>R01020</t>
        </is>
      </c>
      <c r="B21" t="inlineStr">
        <is>
          <t>Atlas Ltd</t>
        </is>
      </c>
      <c r="C21" t="inlineStr">
        <is>
          <t>Retail</t>
        </is>
      </c>
      <c r="D21" t="inlineStr">
        <is>
          <t>APAC</t>
        </is>
      </c>
      <c r="E21" t="inlineStr">
        <is>
          <t>Credit Card</t>
        </is>
      </c>
      <c r="F21" t="inlineStr">
        <is>
          <t>AA</t>
        </is>
      </c>
      <c r="G21" t="inlineStr">
        <is>
          <t>JP</t>
        </is>
      </c>
      <c r="H21" t="inlineStr">
        <is>
          <t>JPY</t>
        </is>
      </c>
      <c r="I21" t="n">
        <v>21211</v>
      </c>
      <c r="J21" t="n">
        <v>0</v>
      </c>
      <c r="K21" s="1" t="n">
        <v>48072</v>
      </c>
      <c r="L21">
        <f>VLOOKUP(H21,FX!$A$2:$B$8,2,FALSE)</f>
        <v>0.0067</v>
      </c>
      <c r="M21">
        <f>ROUND(I21*L21,2)</f>
        <v>142.11</v>
      </c>
      <c r="N21" t="str">
        <f>VLOOKUP(G21,Countries!$A$2:$C$13,3,FALSE)</f>
        <v>Low</v>
      </c>
      <c r="O21">
        <f>VLOOKUP(F21,Ratings!$A$2:$C$7,3,FALSE)</f>
        <v>0.2</v>
      </c>
      <c r="P21">
        <f>ROUND(M21*O21,2)</f>
        <v>28.42</v>
      </c>
      <c r="Q21" t="str">
        <f>IF(N21="High","Review","OK")</f>
        <v>OK</v>
      </c>
    </row>
    <row r="22">
      <c r="A22" t="inlineStr">
        <is>
          <t>R01021</t>
        </is>
      </c>
      <c r="B22" t="inlineStr">
        <is>
          <t>Quartz Ltd</t>
        </is>
      </c>
      <c r="C22" t="inlineStr">
        <is>
          <t>Retail</t>
        </is>
      </c>
      <c r="D22" t="inlineStr">
        <is>
          <t>APAC</t>
        </is>
      </c>
      <c r="E22" t="inlineStr">
        <is>
          <t>Mortgage</t>
        </is>
      </c>
      <c r="F22" t="inlineStr">
        <is>
          <t>A</t>
        </is>
      </c>
      <c r="G22" t="inlineStr">
        <is>
          <t>ID</t>
        </is>
      </c>
      <c r="H22" t="inlineStr">
        <is>
          <t>USD</t>
        </is>
      </c>
      <c r="I22" t="n">
        <v>958855</v>
      </c>
      <c r="J22" t="n">
        <v>0</v>
      </c>
      <c r="K22" s="1" t="n">
        <v>48141</v>
      </c>
      <c r="L22">
        <f>VLOOKUP(H22,FX!$A$2:$B$8,2,FALSE)</f>
        <v>1</v>
      </c>
      <c r="M22">
        <f>ROUND(I22*L22,2)</f>
        <v>958855</v>
      </c>
      <c r="N22" t="str">
        <f>VLOOKUP(G22,Countries!$A$2:$C$13,3,FALSE)</f>
        <v>High</v>
      </c>
      <c r="O22">
        <f>VLOOKUP(F22,Ratings!$A$2:$C$7,3,FALSE)</f>
        <v>0.5</v>
      </c>
      <c r="P22">
        <f>ROUND(M22*O22,2)</f>
        <v>479427.5</v>
      </c>
      <c r="Q22" t="str">
        <f>IF(N22="High","Review","OK")</f>
        <v>Review</v>
      </c>
    </row>
    <row r="23">
      <c r="A23" t="inlineStr">
        <is>
          <t>R01022</t>
        </is>
      </c>
      <c r="B23" t="inlineStr">
        <is>
          <t>Falcon Holdings</t>
        </is>
      </c>
      <c r="C23" t="inlineStr">
        <is>
          <t>Retail</t>
        </is>
      </c>
      <c r="D23" t="inlineStr">
        <is>
          <t>APAC</t>
        </is>
      </c>
      <c r="E23" t="inlineStr">
        <is>
          <t>Credit Card</t>
        </is>
      </c>
      <c r="F23" t="inlineStr">
        <is>
          <t>AA</t>
        </is>
      </c>
      <c r="G23" t="inlineStr">
        <is>
          <t>JP</t>
        </is>
      </c>
      <c r="H23" t="inlineStr">
        <is>
          <t>JPY</t>
        </is>
      </c>
      <c r="I23" t="n">
        <v>112210</v>
      </c>
      <c r="J23" t="n">
        <v>33663</v>
      </c>
      <c r="K23" s="1" t="n">
        <v>49290</v>
      </c>
      <c r="L23">
        <f>VLOOKUP(H23,FX!$A$2:$B$8,2,FALSE)</f>
        <v>0.0067</v>
      </c>
      <c r="M23">
        <f>ROUND(I23*L23,2)</f>
        <v>751.81</v>
      </c>
      <c r="N23" t="str">
        <f>VLOOKUP(G23,Countries!$A$2:$C$13,3,FALSE)</f>
        <v>Low</v>
      </c>
      <c r="O23">
        <f>VLOOKUP(F23,Ratings!$A$2:$C$7,3,FALSE)</f>
        <v>0.2</v>
      </c>
      <c r="P23">
        <f>ROUND(M23*O23,2)</f>
        <v>150.36</v>
      </c>
      <c r="Q23" t="str">
        <f>IF(N23="High","Review","OK")</f>
        <v>OK</v>
      </c>
    </row>
    <row r="24">
      <c r="A24" t="inlineStr">
        <is>
          <t>R01023</t>
        </is>
      </c>
      <c r="B24" t="inlineStr">
        <is>
          <t>Cedar Group</t>
        </is>
      </c>
      <c r="C24" t="inlineStr">
        <is>
          <t>Retail</t>
        </is>
      </c>
      <c r="D24" t="inlineStr">
        <is>
          <t>APAC</t>
        </is>
      </c>
      <c r="E24" t="inlineStr">
        <is>
          <t>Credit Card</t>
        </is>
      </c>
      <c r="F24" t="inlineStr">
        <is>
          <t>A</t>
        </is>
      </c>
      <c r="G24" t="inlineStr">
        <is>
          <t>IN</t>
        </is>
      </c>
      <c r="H24" t="inlineStr">
        <is>
          <t>INR</t>
        </is>
      </c>
      <c r="I24" t="n">
        <v>22672</v>
      </c>
      <c r="J24" t="n">
        <v>13603</v>
      </c>
      <c r="K24" s="1" t="n">
        <v>46399</v>
      </c>
      <c r="L24">
        <f>VLOOKUP(H24,FX!$A$2:$B$8,2,FALSE)</f>
        <v>0.012</v>
      </c>
      <c r="M24">
        <f>ROUND(I24*L24,2)</f>
        <v>272.06</v>
      </c>
      <c r="N24" t="str">
        <f>VLOOKUP(G24,Countries!$A$2:$C$13,3,FALSE)</f>
        <v>Medium</v>
      </c>
      <c r="O24">
        <f>VLOOKUP(F24,Ratings!$A$2:$C$7,3,FALSE)</f>
        <v>0.5</v>
      </c>
      <c r="P24">
        <f>ROUND(M24*O24,2)</f>
        <v>136.03</v>
      </c>
      <c r="Q24" t="str">
        <f>IF(N24="High","Review","OK")</f>
        <v>OK</v>
      </c>
    </row>
    <row r="25">
      <c r="A25" t="inlineStr">
        <is>
          <t>R01024</t>
        </is>
      </c>
      <c r="B25" t="inlineStr">
        <is>
          <t>Meridian Corp</t>
        </is>
      </c>
      <c r="C25" t="inlineStr">
        <is>
          <t>Retail</t>
        </is>
      </c>
      <c r="D25" t="inlineStr">
        <is>
          <t>APAC</t>
        </is>
      </c>
      <c r="E25" t="inlineStr">
        <is>
          <t>Credit Card</t>
        </is>
      </c>
      <c r="F25" t="inlineStr">
        <is>
          <t>BB</t>
        </is>
      </c>
      <c r="G25" t="inlineStr">
        <is>
          <t>IN</t>
        </is>
      </c>
      <c r="H25" t="inlineStr">
        <is>
          <t>INR</t>
        </is>
      </c>
      <c r="I25" t="n">
        <v>81242</v>
      </c>
      <c r="J25" t="n">
        <v>0</v>
      </c>
      <c r="K25" s="1" t="n">
        <v>48107</v>
      </c>
      <c r="L25">
        <f>VLOOKUP(H25,FX!$A$2:$B$8,2,FALSE)</f>
        <v>0.012</v>
      </c>
      <c r="M25">
        <f>ROUND(I25*L25,2)</f>
        <v>974.9</v>
      </c>
      <c r="N25" t="str">
        <f>VLOOKUP(G25,Countries!$A$2:$C$13,3,FALSE)</f>
        <v>Medium</v>
      </c>
      <c r="O25">
        <f>VLOOKUP(F25,Ratings!$A$2:$C$7,3,FALSE)</f>
        <v>1</v>
      </c>
      <c r="P25">
        <f>ROUND(M25*O25,2)</f>
        <v>974.9</v>
      </c>
      <c r="Q25" t="str">
        <f>IF(N25="High","Review","OK")</f>
        <v>OK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Haircut</t>
        </is>
      </c>
      <c r="O1" t="inlineStr">
        <is>
          <t>Net_Exposure</t>
        </is>
      </c>
      <c r="P1" t="inlineStr">
        <is>
          <t>Risk_Weight</t>
        </is>
      </c>
      <c r="Q1" t="inlineStr">
        <is>
          <t>RWA</t>
        </is>
      </c>
      <c r="R1" t="inlineStr">
        <is>
          <t>Years_To_Maturity</t>
        </is>
      </c>
      <c r="S1" t="inlineStr">
        <is>
          <t>Tenor_Bucket</t>
        </is>
      </c>
    </row>
    <row r="2">
      <c r="A2" t="inlineStr">
        <is>
          <t>C02001</t>
        </is>
      </c>
      <c r="B2" t="inlineStr">
        <is>
          <t>Summit Ltd</t>
        </is>
      </c>
      <c r="C2" t="inlineStr">
        <is>
          <t>Corporate</t>
        </is>
      </c>
      <c r="D2" t="inlineStr">
        <is>
          <t>AMER</t>
        </is>
      </c>
      <c r="E2" t="inlineStr">
        <is>
          <t>Trade Finance</t>
        </is>
      </c>
      <c r="F2" t="inlineStr">
        <is>
          <t>AAA</t>
        </is>
      </c>
      <c r="G2" t="inlineStr">
        <is>
          <t>US</t>
        </is>
      </c>
      <c r="H2" t="inlineStr">
        <is>
          <t>USD</t>
        </is>
      </c>
      <c r="I2" t="n">
        <v>967513</v>
      </c>
      <c r="J2" t="n">
        <v>870762</v>
      </c>
      <c r="K2" s="1" t="n">
        <v>46729</v>
      </c>
      <c r="L2">
        <f>VLOOKUP(H2,FX!$A$2:$B$8,2,FALSE)</f>
        <v>1</v>
      </c>
      <c r="M2">
        <f>ROUND(I2*L2,2)</f>
        <v>967513</v>
      </c>
      <c r="N2">
        <f>VLOOKUP(E2,Products!$A$2:$C$7,3,FALSE)</f>
        <v>0.2</v>
      </c>
      <c r="O2">
        <f>MAX(0,M2-J2*L2*(1-N2))</f>
        <v>270903.3999999999</v>
      </c>
      <c r="P2">
        <f>VLOOKUP(F2,Ratings!$A$2:$C$7,3,FALSE)</f>
        <v>0.2</v>
      </c>
      <c r="Q2">
        <f>ROUND(O2*P2,2)</f>
        <v>54180.68</v>
      </c>
      <c r="R2">
        <f>YEAR(K2)-2026</f>
        <v>1</v>
      </c>
      <c r="S2" t="str">
        <f>IF(R2&gt;=5,"Long",IF(R2&gt;=2,"Medium","Short"))</f>
        <v>Short</v>
      </c>
    </row>
    <row r="3">
      <c r="A3" t="inlineStr">
        <is>
          <t>C02002</t>
        </is>
      </c>
      <c r="B3" t="inlineStr">
        <is>
          <t>Meridian Ltd</t>
        </is>
      </c>
      <c r="C3" t="inlineStr">
        <is>
          <t>Corporate</t>
        </is>
      </c>
      <c r="D3" t="inlineStr">
        <is>
          <t>APAC</t>
        </is>
      </c>
      <c r="E3" t="inlineStr">
        <is>
          <t>Revolver</t>
        </is>
      </c>
      <c r="F3" t="inlineStr">
        <is>
          <t>AAA</t>
        </is>
      </c>
      <c r="G3" t="inlineStr">
        <is>
          <t>ID</t>
        </is>
      </c>
      <c r="H3" t="inlineStr">
        <is>
          <t>USD</t>
        </is>
      </c>
      <c r="I3" t="n">
        <v>967235</v>
      </c>
      <c r="J3" t="n">
        <v>290170</v>
      </c>
      <c r="K3" s="1" t="n">
        <v>47614</v>
      </c>
      <c r="L3">
        <f>VLOOKUP(H3,FX!$A$2:$B$8,2,FALSE)</f>
        <v>1</v>
      </c>
      <c r="M3">
        <f>ROUND(I3*L3,2)</f>
        <v>967235</v>
      </c>
      <c r="N3">
        <f>VLOOKUP(E3,Products!$A$2:$C$7,3,FALSE)</f>
        <v>0.15</v>
      </c>
      <c r="O3">
        <f>MAX(0,M3-J3*L3*(1-N3))</f>
        <v>720590.5</v>
      </c>
      <c r="P3">
        <f>VLOOKUP(F3,Ratings!$A$2:$C$7,3,FALSE)</f>
        <v>0.2</v>
      </c>
      <c r="Q3">
        <f>ROUND(O3*P3,2)</f>
        <v>144118.1</v>
      </c>
      <c r="R3">
        <f>YEAR(K3)-2026</f>
        <v>4</v>
      </c>
      <c r="S3" t="str">
        <f>IF(R3&gt;=5,"Long",IF(R3&gt;=2,"Medium","Short"))</f>
        <v>Medium</v>
      </c>
    </row>
    <row r="4">
      <c r="A4" t="inlineStr">
        <is>
          <t>C02003</t>
        </is>
      </c>
      <c r="B4" t="inlineStr">
        <is>
          <t>Summit Ltd</t>
        </is>
      </c>
      <c r="C4" t="inlineStr">
        <is>
          <t>Corporate</t>
        </is>
      </c>
      <c r="D4" t="inlineStr">
        <is>
          <t>AMER</t>
        </is>
      </c>
      <c r="E4" t="inlineStr">
        <is>
          <t>Trade Finance</t>
        </is>
      </c>
      <c r="F4" t="inlineStr">
        <is>
          <t>B</t>
        </is>
      </c>
      <c r="G4" t="inlineStr">
        <is>
          <t>CA</t>
        </is>
      </c>
      <c r="H4" t="inlineStr">
        <is>
          <t>USD</t>
        </is>
      </c>
      <c r="I4" t="n">
        <v>20605635</v>
      </c>
      <c r="J4" t="n">
        <v>12363381</v>
      </c>
      <c r="K4" s="1" t="n">
        <v>46650</v>
      </c>
      <c r="L4">
        <f>VLOOKUP(H4,FX!$A$2:$B$8,2,FALSE)</f>
        <v>1</v>
      </c>
      <c r="M4">
        <f>ROUND(I4*L4,2)</f>
        <v>20605635</v>
      </c>
      <c r="N4">
        <f>VLOOKUP(E4,Products!$A$2:$C$7,3,FALSE)</f>
        <v>0.2</v>
      </c>
      <c r="O4">
        <f>MAX(0,M4-J4*L4*(1-N4))</f>
        <v>10714930.2</v>
      </c>
      <c r="P4">
        <f>VLOOKUP(F4,Ratings!$A$2:$C$7,3,FALSE)</f>
        <v>1.5</v>
      </c>
      <c r="Q4">
        <f>ROUND(O4*P4,2)</f>
        <v>16072395.3</v>
      </c>
      <c r="R4">
        <f>YEAR(K4)-2026</f>
        <v>1</v>
      </c>
      <c r="S4" t="str">
        <f>IF(R4&gt;=5,"Long",IF(R4&gt;=2,"Medium","Short"))</f>
        <v>Short</v>
      </c>
    </row>
    <row r="5">
      <c r="A5" t="inlineStr">
        <is>
          <t>C02004</t>
        </is>
      </c>
      <c r="B5" t="inlineStr">
        <is>
          <t>Falcon Holdings</t>
        </is>
      </c>
      <c r="C5" t="inlineStr">
        <is>
          <t>Corporate</t>
        </is>
      </c>
      <c r="D5" t="inlineStr">
        <is>
          <t>AMER</t>
        </is>
      </c>
      <c r="E5" t="inlineStr">
        <is>
          <t>Revolver</t>
        </is>
      </c>
      <c r="F5" t="inlineStr">
        <is>
          <t>BB</t>
        </is>
      </c>
      <c r="G5" t="inlineStr">
        <is>
          <t>US</t>
        </is>
      </c>
      <c r="H5" t="inlineStr">
        <is>
          <t>USD</t>
        </is>
      </c>
      <c r="I5" t="n">
        <v>2271805</v>
      </c>
      <c r="J5" t="n">
        <v>2044624</v>
      </c>
      <c r="K5" s="1" t="n">
        <v>48958</v>
      </c>
      <c r="L5">
        <f>VLOOKUP(H5,FX!$A$2:$B$8,2,FALSE)</f>
        <v>1</v>
      </c>
      <c r="M5">
        <f>ROUND(I5*L5,2)</f>
        <v>2271805</v>
      </c>
      <c r="N5">
        <f>VLOOKUP(E5,Products!$A$2:$C$7,3,FALSE)</f>
        <v>0.15</v>
      </c>
      <c r="O5">
        <f>MAX(0,M5-J5*L5*(1-N5))</f>
        <v>533874.6000000001</v>
      </c>
      <c r="P5">
        <f>VLOOKUP(F5,Ratings!$A$2:$C$7,3,FALSE)</f>
        <v>1</v>
      </c>
      <c r="Q5">
        <f>ROUND(O5*P5,2)</f>
        <v>533874.6</v>
      </c>
      <c r="R5">
        <f>YEAR(K5)-2026</f>
        <v>8</v>
      </c>
      <c r="S5" t="str">
        <f>IF(R5&gt;=5,"Long",IF(R5&gt;=2,"Medium","Short"))</f>
        <v>Long</v>
      </c>
    </row>
    <row r="6">
      <c r="A6" t="inlineStr">
        <is>
          <t>C02005</t>
        </is>
      </c>
      <c r="B6" t="inlineStr">
        <is>
          <t>Lumen Group</t>
        </is>
      </c>
      <c r="C6" t="inlineStr">
        <is>
          <t>Corporate</t>
        </is>
      </c>
      <c r="D6" t="inlineStr">
        <is>
          <t>APAC</t>
        </is>
      </c>
      <c r="E6" t="inlineStr">
        <is>
          <t>Revolver</t>
        </is>
      </c>
      <c r="F6" t="inlineStr">
        <is>
          <t>BBB</t>
        </is>
      </c>
      <c r="G6" t="inlineStr">
        <is>
          <t>ID</t>
        </is>
      </c>
      <c r="H6" t="inlineStr">
        <is>
          <t>USD</t>
        </is>
      </c>
      <c r="I6" t="n">
        <v>16173984</v>
      </c>
      <c r="J6" t="n">
        <v>4852195</v>
      </c>
      <c r="K6" s="1" t="n">
        <v>49086</v>
      </c>
      <c r="L6">
        <f>VLOOKUP(H6,FX!$A$2:$B$8,2,FALSE)</f>
        <v>1</v>
      </c>
      <c r="M6">
        <f>ROUND(I6*L6,2)</f>
        <v>16173984</v>
      </c>
      <c r="N6">
        <f>VLOOKUP(E6,Products!$A$2:$C$7,3,FALSE)</f>
        <v>0.15</v>
      </c>
      <c r="O6">
        <f>MAX(0,M6-J6*L6*(1-N6))</f>
        <v>12049618.25</v>
      </c>
      <c r="P6">
        <f>VLOOKUP(F6,Ratings!$A$2:$C$7,3,FALSE)</f>
        <v>1</v>
      </c>
      <c r="Q6">
        <f>ROUND(O6*P6,2)</f>
        <v>12049618.25</v>
      </c>
      <c r="R6">
        <f>YEAR(K6)-2026</f>
        <v>8</v>
      </c>
      <c r="S6" t="str">
        <f>IF(R6&gt;=5,"Long",IF(R6&gt;=2,"Medium","Short"))</f>
        <v>Long</v>
      </c>
    </row>
    <row r="7">
      <c r="A7" t="inlineStr">
        <is>
          <t>C02006</t>
        </is>
      </c>
      <c r="B7" t="inlineStr">
        <is>
          <t>Harbor Ltd</t>
        </is>
      </c>
      <c r="C7" t="inlineStr">
        <is>
          <t>Corporate</t>
        </is>
      </c>
      <c r="D7" t="inlineStr">
        <is>
          <t>AMER</t>
        </is>
      </c>
      <c r="E7" t="inlineStr">
        <is>
          <t>Revolver</t>
        </is>
      </c>
      <c r="F7" t="inlineStr">
        <is>
          <t>B</t>
        </is>
      </c>
      <c r="G7" t="inlineStr">
        <is>
          <t>CA</t>
        </is>
      </c>
      <c r="H7" t="inlineStr">
        <is>
          <t>USD</t>
        </is>
      </c>
      <c r="I7" t="n">
        <v>488968</v>
      </c>
      <c r="J7" t="n">
        <v>0</v>
      </c>
      <c r="K7" s="1" t="n">
        <v>48165</v>
      </c>
      <c r="L7">
        <f>VLOOKUP(H7,FX!$A$2:$B$8,2,FALSE)</f>
        <v>1</v>
      </c>
      <c r="M7">
        <f>ROUND(I7*L7,2)</f>
        <v>488968</v>
      </c>
      <c r="N7">
        <f>VLOOKUP(E7,Products!$A$2:$C$7,3,FALSE)</f>
        <v>0.15</v>
      </c>
      <c r="O7">
        <f>MAX(0,M7-J7*L7*(1-N7))</f>
        <v>488968</v>
      </c>
      <c r="P7">
        <f>VLOOKUP(F7,Ratings!$A$2:$C$7,3,FALSE)</f>
        <v>1.5</v>
      </c>
      <c r="Q7">
        <f>ROUND(O7*P7,2)</f>
        <v>733452</v>
      </c>
      <c r="R7">
        <f>YEAR(K7)-2026</f>
        <v>5</v>
      </c>
      <c r="S7" t="str">
        <f>IF(R7&gt;=5,"Long",IF(R7&gt;=2,"Medium","Short"))</f>
        <v>Long</v>
      </c>
    </row>
    <row r="8">
      <c r="A8" t="inlineStr">
        <is>
          <t>C02007</t>
        </is>
      </c>
      <c r="B8" t="inlineStr">
        <is>
          <t>Keystone Ltd</t>
        </is>
      </c>
      <c r="C8" t="inlineStr">
        <is>
          <t>Corporate</t>
        </is>
      </c>
      <c r="D8" t="inlineStr">
        <is>
          <t>EMEA</t>
        </is>
      </c>
      <c r="E8" t="inlineStr">
        <is>
          <t>Trade Finance</t>
        </is>
      </c>
      <c r="F8" t="inlineStr">
        <is>
          <t>AA</t>
        </is>
      </c>
      <c r="G8" t="inlineStr">
        <is>
          <t>FR</t>
        </is>
      </c>
      <c r="H8" t="inlineStr">
        <is>
          <t>EUR</t>
        </is>
      </c>
      <c r="I8" t="n">
        <v>9601899</v>
      </c>
      <c r="J8" t="n">
        <v>5761139</v>
      </c>
      <c r="K8" s="1" t="n">
        <v>47993</v>
      </c>
      <c r="L8">
        <f>VLOOKUP(H8,FX!$A$2:$B$8,2,FALSE)</f>
        <v>1.08</v>
      </c>
      <c r="M8">
        <f>ROUND(I8*L8,2)</f>
        <v>10370050.92</v>
      </c>
      <c r="N8">
        <f>VLOOKUP(E8,Products!$A$2:$C$7,3,FALSE)</f>
        <v>0.2</v>
      </c>
      <c r="O8">
        <f>MAX(0,M8-J8*L8*(1-N8))</f>
        <v>5392426.824</v>
      </c>
      <c r="P8">
        <f>VLOOKUP(F8,Ratings!$A$2:$C$7,3,FALSE)</f>
        <v>0.2</v>
      </c>
      <c r="Q8">
        <f>ROUND(O8*P8,2)</f>
        <v>1078485.36</v>
      </c>
      <c r="R8">
        <f>YEAR(K8)-2026</f>
        <v>5</v>
      </c>
      <c r="S8" t="str">
        <f>IF(R8&gt;=5,"Long",IF(R8&gt;=2,"Medium","Short"))</f>
        <v>Long</v>
      </c>
    </row>
    <row r="9">
      <c r="A9" t="inlineStr">
        <is>
          <t>C02008</t>
        </is>
      </c>
      <c r="B9" t="inlineStr">
        <is>
          <t>Orion Corp</t>
        </is>
      </c>
      <c r="C9" t="inlineStr">
        <is>
          <t>Corporate</t>
        </is>
      </c>
      <c r="D9" t="inlineStr">
        <is>
          <t>EMEA</t>
        </is>
      </c>
      <c r="E9" t="inlineStr">
        <is>
          <t>Trade Finance</t>
        </is>
      </c>
      <c r="F9" t="inlineStr">
        <is>
          <t>AA</t>
        </is>
      </c>
      <c r="G9" t="inlineStr">
        <is>
          <t>UK</t>
        </is>
      </c>
      <c r="H9" t="inlineStr">
        <is>
          <t>GBP</t>
        </is>
      </c>
      <c r="I9" t="n">
        <v>1079853</v>
      </c>
      <c r="J9" t="n">
        <v>971868</v>
      </c>
      <c r="K9" s="1" t="n">
        <v>46407</v>
      </c>
      <c r="L9">
        <f>VLOOKUP(H9,FX!$A$2:$B$8,2,FALSE)</f>
        <v>1.27</v>
      </c>
      <c r="M9">
        <f>ROUND(I9*L9,2)</f>
        <v>1371413.31</v>
      </c>
      <c r="N9">
        <f>VLOOKUP(E9,Products!$A$2:$C$7,3,FALSE)</f>
        <v>0.2</v>
      </c>
      <c r="O9">
        <f>MAX(0,M9-J9*L9*(1-N9))</f>
        <v>383995.4219999999</v>
      </c>
      <c r="P9">
        <f>VLOOKUP(F9,Ratings!$A$2:$C$7,3,FALSE)</f>
        <v>0.2</v>
      </c>
      <c r="Q9">
        <f>ROUND(O9*P9,2)</f>
        <v>76799.08</v>
      </c>
      <c r="R9">
        <f>YEAR(K9)-2026</f>
        <v>1</v>
      </c>
      <c r="S9" t="str">
        <f>IF(R9&gt;=5,"Long",IF(R9&gt;=2,"Medium","Short"))</f>
        <v>Short</v>
      </c>
    </row>
    <row r="10">
      <c r="A10" t="inlineStr">
        <is>
          <t>C02009</t>
        </is>
      </c>
      <c r="B10" t="inlineStr">
        <is>
          <t>Lumen Corp</t>
        </is>
      </c>
      <c r="C10" t="inlineStr">
        <is>
          <t>Corporate</t>
        </is>
      </c>
      <c r="D10" t="inlineStr">
        <is>
          <t>APAC</t>
        </is>
      </c>
      <c r="E10" t="inlineStr">
        <is>
          <t>Term Loan</t>
        </is>
      </c>
      <c r="F10" t="inlineStr">
        <is>
          <t>AAA</t>
        </is>
      </c>
      <c r="G10" t="inlineStr">
        <is>
          <t>ID</t>
        </is>
      </c>
      <c r="H10" t="inlineStr">
        <is>
          <t>USD</t>
        </is>
      </c>
      <c r="I10" t="n">
        <v>3222258</v>
      </c>
      <c r="J10" t="n">
        <v>966677</v>
      </c>
      <c r="K10" s="1" t="n">
        <v>47929</v>
      </c>
      <c r="L10">
        <f>VLOOKUP(H10,FX!$A$2:$B$8,2,FALSE)</f>
        <v>1</v>
      </c>
      <c r="M10">
        <f>ROUND(I10*L10,2)</f>
        <v>3222258</v>
      </c>
      <c r="N10">
        <f>VLOOKUP(E10,Products!$A$2:$C$7,3,FALSE)</f>
        <v>0.1</v>
      </c>
      <c r="O10">
        <f>MAX(0,M10-J10*L10*(1-N10))</f>
        <v>2352248.7</v>
      </c>
      <c r="P10">
        <f>VLOOKUP(F10,Ratings!$A$2:$C$7,3,FALSE)</f>
        <v>0.2</v>
      </c>
      <c r="Q10">
        <f>ROUND(O10*P10,2)</f>
        <v>470449.74</v>
      </c>
      <c r="R10">
        <f>YEAR(K10)-2026</f>
        <v>5</v>
      </c>
      <c r="S10" t="str">
        <f>IF(R10&gt;=5,"Long",IF(R10&gt;=2,"Medium","Short"))</f>
        <v>Long</v>
      </c>
    </row>
    <row r="11">
      <c r="A11" t="inlineStr">
        <is>
          <t>C02010</t>
        </is>
      </c>
      <c r="B11" t="inlineStr">
        <is>
          <t>Nimbus Group</t>
        </is>
      </c>
      <c r="C11" t="inlineStr">
        <is>
          <t>Corporate</t>
        </is>
      </c>
      <c r="D11" t="inlineStr">
        <is>
          <t>APAC</t>
        </is>
      </c>
      <c r="E11" t="inlineStr">
        <is>
          <t>Trade Finance</t>
        </is>
      </c>
      <c r="F11" t="inlineStr">
        <is>
          <t>B</t>
        </is>
      </c>
      <c r="G11" t="inlineStr">
        <is>
          <t>ID</t>
        </is>
      </c>
      <c r="H11" t="inlineStr">
        <is>
          <t>USD</t>
        </is>
      </c>
      <c r="I11" t="n">
        <v>7781722</v>
      </c>
      <c r="J11" t="n">
        <v>7003550</v>
      </c>
      <c r="K11" s="1" t="n">
        <v>46897</v>
      </c>
      <c r="L11">
        <f>VLOOKUP(H11,FX!$A$2:$B$8,2,FALSE)</f>
        <v>1</v>
      </c>
      <c r="M11">
        <f>ROUND(I11*L11,2)</f>
        <v>7781722</v>
      </c>
      <c r="N11">
        <f>VLOOKUP(E11,Products!$A$2:$C$7,3,FALSE)</f>
        <v>0.2</v>
      </c>
      <c r="O11">
        <f>MAX(0,M11-J11*L11*(1-N11))</f>
        <v>2178882</v>
      </c>
      <c r="P11">
        <f>VLOOKUP(F11,Ratings!$A$2:$C$7,3,FALSE)</f>
        <v>1.5</v>
      </c>
      <c r="Q11">
        <f>ROUND(O11*P11,2)</f>
        <v>3268323</v>
      </c>
      <c r="R11">
        <f>YEAR(K11)-2026</f>
        <v>2</v>
      </c>
      <c r="S11" t="str">
        <f>IF(R11&gt;=5,"Long",IF(R11&gt;=2,"Medium","Short"))</f>
        <v>Medium</v>
      </c>
    </row>
    <row r="12">
      <c r="A12" t="inlineStr">
        <is>
          <t>C02011</t>
        </is>
      </c>
      <c r="B12" t="inlineStr">
        <is>
          <t>Juniper Group</t>
        </is>
      </c>
      <c r="C12" t="inlineStr">
        <is>
          <t>Corporate</t>
        </is>
      </c>
      <c r="D12" t="inlineStr">
        <is>
          <t>EMEA</t>
        </is>
      </c>
      <c r="E12" t="inlineStr">
        <is>
          <t>Revolver</t>
        </is>
      </c>
      <c r="F12" t="inlineStr">
        <is>
          <t>A</t>
        </is>
      </c>
      <c r="G12" t="inlineStr">
        <is>
          <t>DE</t>
        </is>
      </c>
      <c r="H12" t="inlineStr">
        <is>
          <t>EUR</t>
        </is>
      </c>
      <c r="I12" t="n">
        <v>801887</v>
      </c>
      <c r="J12" t="n">
        <v>240566</v>
      </c>
      <c r="K12" s="1" t="n">
        <v>49272</v>
      </c>
      <c r="L12">
        <f>VLOOKUP(H12,FX!$A$2:$B$8,2,FALSE)</f>
        <v>1.08</v>
      </c>
      <c r="M12">
        <f>ROUND(I12*L12,2)</f>
        <v>866037.96</v>
      </c>
      <c r="N12">
        <f>VLOOKUP(E12,Products!$A$2:$C$7,3,FALSE)</f>
        <v>0.15</v>
      </c>
      <c r="O12">
        <f>MAX(0,M12-J12*L12*(1-N12))</f>
        <v>645198.372</v>
      </c>
      <c r="P12">
        <f>VLOOKUP(F12,Ratings!$A$2:$C$7,3,FALSE)</f>
        <v>0.5</v>
      </c>
      <c r="Q12">
        <f>ROUND(O12*P12,2)</f>
        <v>322599.19</v>
      </c>
      <c r="R12">
        <f>YEAR(K12)-2026</f>
        <v>8</v>
      </c>
      <c r="S12" t="str">
        <f>IF(R12&gt;=5,"Long",IF(R12&gt;=2,"Medium","Short"))</f>
        <v>Long</v>
      </c>
    </row>
    <row r="13">
      <c r="A13" t="inlineStr">
        <is>
          <t>C02012</t>
        </is>
      </c>
      <c r="B13" t="inlineStr">
        <is>
          <t>Harbor Corp</t>
        </is>
      </c>
      <c r="C13" t="inlineStr">
        <is>
          <t>Corporate</t>
        </is>
      </c>
      <c r="D13" t="inlineStr">
        <is>
          <t>AMER</t>
        </is>
      </c>
      <c r="E13" t="inlineStr">
        <is>
          <t>Trade Finance</t>
        </is>
      </c>
      <c r="F13" t="inlineStr">
        <is>
          <t>AA</t>
        </is>
      </c>
      <c r="G13" t="inlineStr">
        <is>
          <t>CA</t>
        </is>
      </c>
      <c r="H13" t="inlineStr">
        <is>
          <t>USD</t>
        </is>
      </c>
      <c r="I13" t="n">
        <v>2766201</v>
      </c>
      <c r="J13" t="n">
        <v>2489581</v>
      </c>
      <c r="K13" s="1" t="n">
        <v>47059</v>
      </c>
      <c r="L13">
        <f>VLOOKUP(H13,FX!$A$2:$B$8,2,FALSE)</f>
        <v>1</v>
      </c>
      <c r="M13">
        <f>ROUND(I13*L13,2)</f>
        <v>2766201</v>
      </c>
      <c r="N13">
        <f>VLOOKUP(E13,Products!$A$2:$C$7,3,FALSE)</f>
        <v>0.2</v>
      </c>
      <c r="O13">
        <f>MAX(0,M13-J13*L13*(1-N13))</f>
        <v>774536.2</v>
      </c>
      <c r="P13">
        <f>VLOOKUP(F13,Ratings!$A$2:$C$7,3,FALSE)</f>
        <v>0.2</v>
      </c>
      <c r="Q13">
        <f>ROUND(O13*P13,2)</f>
        <v>154907.24</v>
      </c>
      <c r="R13">
        <f>YEAR(K13)-2026</f>
        <v>2</v>
      </c>
      <c r="S13" t="str">
        <f>IF(R13&gt;=5,"Long",IF(R13&gt;=2,"Medium","Short"))</f>
        <v>Medium</v>
      </c>
    </row>
    <row r="14">
      <c r="A14" t="inlineStr">
        <is>
          <t>C02013</t>
        </is>
      </c>
      <c r="B14" t="inlineStr">
        <is>
          <t>Atlas Ltd</t>
        </is>
      </c>
      <c r="C14" t="inlineStr">
        <is>
          <t>Corporate</t>
        </is>
      </c>
      <c r="D14" t="inlineStr">
        <is>
          <t>AMER</t>
        </is>
      </c>
      <c r="E14" t="inlineStr">
        <is>
          <t>Term Loan</t>
        </is>
      </c>
      <c r="F14" t="inlineStr">
        <is>
          <t>AAA</t>
        </is>
      </c>
      <c r="G14" t="inlineStr">
        <is>
          <t>US</t>
        </is>
      </c>
      <c r="H14" t="inlineStr">
        <is>
          <t>USD</t>
        </is>
      </c>
      <c r="I14" t="n">
        <v>5653306</v>
      </c>
      <c r="J14" t="n">
        <v>0</v>
      </c>
      <c r="K14" s="1" t="n">
        <v>49067</v>
      </c>
      <c r="L14">
        <f>VLOOKUP(H14,FX!$A$2:$B$8,2,FALSE)</f>
        <v>1</v>
      </c>
      <c r="M14">
        <f>ROUND(I14*L14,2)</f>
        <v>5653306</v>
      </c>
      <c r="N14">
        <f>VLOOKUP(E14,Products!$A$2:$C$7,3,FALSE)</f>
        <v>0.1</v>
      </c>
      <c r="O14">
        <f>MAX(0,M14-J14*L14*(1-N14))</f>
        <v>5653306</v>
      </c>
      <c r="P14">
        <f>VLOOKUP(F14,Ratings!$A$2:$C$7,3,FALSE)</f>
        <v>0.2</v>
      </c>
      <c r="Q14">
        <f>ROUND(O14*P14,2)</f>
        <v>1130661.2</v>
      </c>
      <c r="R14">
        <f>YEAR(K14)-2026</f>
        <v>8</v>
      </c>
      <c r="S14" t="str">
        <f>IF(R14&gt;=5,"Long",IF(R14&gt;=2,"Medium","Short"))</f>
        <v>Long</v>
      </c>
    </row>
    <row r="15">
      <c r="A15" t="inlineStr">
        <is>
          <t>C02014</t>
        </is>
      </c>
      <c r="B15" t="inlineStr">
        <is>
          <t>Lumen Holdings</t>
        </is>
      </c>
      <c r="C15" t="inlineStr">
        <is>
          <t>Corporate</t>
        </is>
      </c>
      <c r="D15" t="inlineStr">
        <is>
          <t>EMEA</t>
        </is>
      </c>
      <c r="E15" t="inlineStr">
        <is>
          <t>Trade Finance</t>
        </is>
      </c>
      <c r="F15" t="inlineStr">
        <is>
          <t>BBB</t>
        </is>
      </c>
      <c r="G15" t="inlineStr">
        <is>
          <t>DE</t>
        </is>
      </c>
      <c r="H15" t="inlineStr">
        <is>
          <t>EUR</t>
        </is>
      </c>
      <c r="I15" t="n">
        <v>2762211</v>
      </c>
      <c r="J15" t="n">
        <v>828663</v>
      </c>
      <c r="K15" s="1" t="n">
        <v>46915</v>
      </c>
      <c r="L15">
        <f>VLOOKUP(H15,FX!$A$2:$B$8,2,FALSE)</f>
        <v>1.08</v>
      </c>
      <c r="M15">
        <f>ROUND(I15*L15,2)</f>
        <v>2983187.88</v>
      </c>
      <c r="N15">
        <f>VLOOKUP(E15,Products!$A$2:$C$7,3,FALSE)</f>
        <v>0.2</v>
      </c>
      <c r="O15">
        <f>MAX(0,M15-J15*L15*(1-N15))</f>
        <v>2267223.048</v>
      </c>
      <c r="P15">
        <f>VLOOKUP(F15,Ratings!$A$2:$C$7,3,FALSE)</f>
        <v>1</v>
      </c>
      <c r="Q15">
        <f>ROUND(O15*P15,2)</f>
        <v>2267223.05</v>
      </c>
      <c r="R15">
        <f>YEAR(K15)-2026</f>
        <v>2</v>
      </c>
      <c r="S15" t="str">
        <f>IF(R15&gt;=5,"Long",IF(R15&gt;=2,"Medium","Short"))</f>
        <v>Medium</v>
      </c>
    </row>
    <row r="16">
      <c r="A16" t="inlineStr">
        <is>
          <t>C02015</t>
        </is>
      </c>
      <c r="B16" t="inlineStr">
        <is>
          <t>Titan Corp</t>
        </is>
      </c>
      <c r="C16" t="inlineStr">
        <is>
          <t>Corporate</t>
        </is>
      </c>
      <c r="D16" t="inlineStr">
        <is>
          <t>APAC</t>
        </is>
      </c>
      <c r="E16" t="inlineStr">
        <is>
          <t>Term Loan</t>
        </is>
      </c>
      <c r="F16" t="inlineStr">
        <is>
          <t>BBB</t>
        </is>
      </c>
      <c r="G16" t="inlineStr">
        <is>
          <t>IN</t>
        </is>
      </c>
      <c r="H16" t="inlineStr">
        <is>
          <t>INR</t>
        </is>
      </c>
      <c r="I16" t="n">
        <v>766278</v>
      </c>
      <c r="J16" t="n">
        <v>459767</v>
      </c>
      <c r="K16" s="1" t="n">
        <v>47690</v>
      </c>
      <c r="L16">
        <f>VLOOKUP(H16,FX!$A$2:$B$8,2,FALSE)</f>
        <v>0.012</v>
      </c>
      <c r="M16">
        <f>ROUND(I16*L16,2)</f>
        <v>9195.34</v>
      </c>
      <c r="N16">
        <f>VLOOKUP(E16,Products!$A$2:$C$7,3,FALSE)</f>
        <v>0.1</v>
      </c>
      <c r="O16">
        <f>MAX(0,M16-J16*L16*(1-N16))</f>
        <v>4229.856400000001</v>
      </c>
      <c r="P16">
        <f>VLOOKUP(F16,Ratings!$A$2:$C$7,3,FALSE)</f>
        <v>1</v>
      </c>
      <c r="Q16">
        <f>ROUND(O16*P16,2)</f>
        <v>4229.86</v>
      </c>
      <c r="R16">
        <f>YEAR(K16)-2026</f>
        <v>4</v>
      </c>
      <c r="S16" t="str">
        <f>IF(R16&gt;=5,"Long",IF(R16&gt;=2,"Medium","Short"))</f>
        <v>Medium</v>
      </c>
    </row>
    <row r="17">
      <c r="A17" t="inlineStr">
        <is>
          <t>C02016</t>
        </is>
      </c>
      <c r="B17" t="inlineStr">
        <is>
          <t>Falcon Holdings</t>
        </is>
      </c>
      <c r="C17" t="inlineStr">
        <is>
          <t>Corporate</t>
        </is>
      </c>
      <c r="D17" t="inlineStr">
        <is>
          <t>EMEA</t>
        </is>
      </c>
      <c r="E17" t="inlineStr">
        <is>
          <t>Term Loan</t>
        </is>
      </c>
      <c r="F17" t="inlineStr">
        <is>
          <t>B</t>
        </is>
      </c>
      <c r="G17" t="inlineStr">
        <is>
          <t>FR</t>
        </is>
      </c>
      <c r="H17" t="inlineStr">
        <is>
          <t>EUR</t>
        </is>
      </c>
      <c r="I17" t="n">
        <v>5828960</v>
      </c>
      <c r="J17" t="n">
        <v>1748688</v>
      </c>
      <c r="K17" s="1" t="n">
        <v>48990</v>
      </c>
      <c r="L17">
        <f>VLOOKUP(H17,FX!$A$2:$B$8,2,FALSE)</f>
        <v>1.08</v>
      </c>
      <c r="M17">
        <f>ROUND(I17*L17,2)</f>
        <v>6295276.8</v>
      </c>
      <c r="N17">
        <f>VLOOKUP(E17,Products!$A$2:$C$7,3,FALSE)</f>
        <v>0.1</v>
      </c>
      <c r="O17">
        <f>MAX(0,M17-J17*L17*(1-N17))</f>
        <v>4595552.063999999</v>
      </c>
      <c r="P17">
        <f>VLOOKUP(F17,Ratings!$A$2:$C$7,3,FALSE)</f>
        <v>1.5</v>
      </c>
      <c r="Q17">
        <f>ROUND(O17*P17,2)</f>
        <v>6893328.1</v>
      </c>
      <c r="R17">
        <f>YEAR(K17)-2026</f>
        <v>8</v>
      </c>
      <c r="S17" t="str">
        <f>IF(R17&gt;=5,"Long",IF(R17&gt;=2,"Medium","Short"))</f>
        <v>Long</v>
      </c>
    </row>
    <row r="18">
      <c r="A18" t="inlineStr">
        <is>
          <t>C02017</t>
        </is>
      </c>
      <c r="B18" t="inlineStr">
        <is>
          <t>Summit Holdings</t>
        </is>
      </c>
      <c r="C18" t="inlineStr">
        <is>
          <t>Corporate</t>
        </is>
      </c>
      <c r="D18" t="inlineStr">
        <is>
          <t>APAC</t>
        </is>
      </c>
      <c r="E18" t="inlineStr">
        <is>
          <t>Trade Finance</t>
        </is>
      </c>
      <c r="F18" t="inlineStr">
        <is>
          <t>B</t>
        </is>
      </c>
      <c r="G18" t="inlineStr">
        <is>
          <t>SG</t>
        </is>
      </c>
      <c r="H18" t="inlineStr">
        <is>
          <t>SGD</t>
        </is>
      </c>
      <c r="I18" t="n">
        <v>756473</v>
      </c>
      <c r="J18" t="n">
        <v>453884</v>
      </c>
      <c r="K18" s="1" t="n">
        <v>47486</v>
      </c>
      <c r="L18">
        <f>VLOOKUP(H18,FX!$A$2:$B$8,2,FALSE)</f>
        <v>0.74</v>
      </c>
      <c r="M18">
        <f>ROUND(I18*L18,2)</f>
        <v>559790.02</v>
      </c>
      <c r="N18">
        <f>VLOOKUP(E18,Products!$A$2:$C$7,3,FALSE)</f>
        <v>0.2</v>
      </c>
      <c r="O18">
        <f>MAX(0,M18-J18*L18*(1-N18))</f>
        <v>291090.69200000004</v>
      </c>
      <c r="P18">
        <f>VLOOKUP(F18,Ratings!$A$2:$C$7,3,FALSE)</f>
        <v>1.5</v>
      </c>
      <c r="Q18">
        <f>ROUND(O18*P18,2)</f>
        <v>436636.04</v>
      </c>
      <c r="R18">
        <f>YEAR(K18)-2026</f>
        <v>4</v>
      </c>
      <c r="S18" t="str">
        <f>IF(R18&gt;=5,"Long",IF(R18&gt;=2,"Medium","Short"))</f>
        <v>Medium</v>
      </c>
    </row>
    <row r="19">
      <c r="A19" t="inlineStr">
        <is>
          <t>C02018</t>
        </is>
      </c>
      <c r="B19" t="inlineStr">
        <is>
          <t>Pinnacle Group</t>
        </is>
      </c>
      <c r="C19" t="inlineStr">
        <is>
          <t>Corporate</t>
        </is>
      </c>
      <c r="D19" t="inlineStr">
        <is>
          <t>APAC</t>
        </is>
      </c>
      <c r="E19" t="inlineStr">
        <is>
          <t>Trade Finance</t>
        </is>
      </c>
      <c r="F19" t="inlineStr">
        <is>
          <t>A</t>
        </is>
      </c>
      <c r="G19" t="inlineStr">
        <is>
          <t>IN</t>
        </is>
      </c>
      <c r="H19" t="inlineStr">
        <is>
          <t>INR</t>
        </is>
      </c>
      <c r="I19" t="n">
        <v>924867</v>
      </c>
      <c r="J19" t="n">
        <v>0</v>
      </c>
      <c r="K19" s="1" t="n">
        <v>46926</v>
      </c>
      <c r="L19">
        <f>VLOOKUP(H19,FX!$A$2:$B$8,2,FALSE)</f>
        <v>0.012</v>
      </c>
      <c r="M19">
        <f>ROUND(I19*L19,2)</f>
        <v>11098.4</v>
      </c>
      <c r="N19">
        <f>VLOOKUP(E19,Products!$A$2:$C$7,3,FALSE)</f>
        <v>0.2</v>
      </c>
      <c r="O19">
        <f>MAX(0,M19-J19*L19*(1-N19))</f>
        <v>11098.4</v>
      </c>
      <c r="P19">
        <f>VLOOKUP(F19,Ratings!$A$2:$C$7,3,FALSE)</f>
        <v>0.5</v>
      </c>
      <c r="Q19">
        <f>ROUND(O19*P19,2)</f>
        <v>5549.2</v>
      </c>
      <c r="R19">
        <f>YEAR(K19)-2026</f>
        <v>2</v>
      </c>
      <c r="S19" t="str">
        <f>IF(R19&gt;=5,"Long",IF(R19&gt;=2,"Medium","Short"))</f>
        <v>Medium</v>
      </c>
    </row>
    <row r="20">
      <c r="A20" t="inlineStr">
        <is>
          <t>C02019</t>
        </is>
      </c>
      <c r="B20" t="inlineStr">
        <is>
          <t>Orion Group</t>
        </is>
      </c>
      <c r="C20" t="inlineStr">
        <is>
          <t>Corporate</t>
        </is>
      </c>
      <c r="D20" t="inlineStr">
        <is>
          <t>AMER</t>
        </is>
      </c>
      <c r="E20" t="inlineStr">
        <is>
          <t>Revolver</t>
        </is>
      </c>
      <c r="F20" t="inlineStr">
        <is>
          <t>BBB</t>
        </is>
      </c>
      <c r="G20" t="inlineStr">
        <is>
          <t>BR</t>
        </is>
      </c>
      <c r="H20" t="inlineStr">
        <is>
          <t>USD</t>
        </is>
      </c>
      <c r="I20" t="n">
        <v>686365</v>
      </c>
      <c r="J20" t="n">
        <v>617728</v>
      </c>
      <c r="K20" s="1" t="n">
        <v>47706</v>
      </c>
      <c r="L20">
        <f>VLOOKUP(H20,FX!$A$2:$B$8,2,FALSE)</f>
        <v>1</v>
      </c>
      <c r="M20">
        <f>ROUND(I20*L20,2)</f>
        <v>686365</v>
      </c>
      <c r="N20">
        <f>VLOOKUP(E20,Products!$A$2:$C$7,3,FALSE)</f>
        <v>0.15</v>
      </c>
      <c r="O20">
        <f>MAX(0,M20-J20*L20*(1-N20))</f>
        <v>161296.20000000007</v>
      </c>
      <c r="P20">
        <f>VLOOKUP(F20,Ratings!$A$2:$C$7,3,FALSE)</f>
        <v>1</v>
      </c>
      <c r="Q20">
        <f>ROUND(O20*P20,2)</f>
        <v>161296.2</v>
      </c>
      <c r="R20">
        <f>YEAR(K20)-2026</f>
        <v>4</v>
      </c>
      <c r="S20" t="str">
        <f>IF(R20&gt;=5,"Long",IF(R20&gt;=2,"Medium","Short"))</f>
        <v>Medium</v>
      </c>
    </row>
    <row r="21">
      <c r="A21" t="inlineStr">
        <is>
          <t>C02020</t>
        </is>
      </c>
      <c r="B21" t="inlineStr">
        <is>
          <t>Lumen Ltd</t>
        </is>
      </c>
      <c r="C21" t="inlineStr">
        <is>
          <t>Corporate</t>
        </is>
      </c>
      <c r="D21" t="inlineStr">
        <is>
          <t>EMEA</t>
        </is>
      </c>
      <c r="E21" t="inlineStr">
        <is>
          <t>Trade Finance</t>
        </is>
      </c>
      <c r="F21" t="inlineStr">
        <is>
          <t>A</t>
        </is>
      </c>
      <c r="G21" t="inlineStr">
        <is>
          <t>AE</t>
        </is>
      </c>
      <c r="H21" t="inlineStr">
        <is>
          <t>AED</t>
        </is>
      </c>
      <c r="I21" t="n">
        <v>1668574</v>
      </c>
      <c r="J21" t="n">
        <v>1001144</v>
      </c>
      <c r="K21" s="1" t="n">
        <v>49151</v>
      </c>
      <c r="L21">
        <f>VLOOKUP(H21,FX!$A$2:$B$8,2,FALSE)</f>
        <v>0.2723</v>
      </c>
      <c r="M21">
        <f>ROUND(I21*L21,2)</f>
        <v>454352.7</v>
      </c>
      <c r="N21">
        <f>VLOOKUP(E21,Products!$A$2:$C$7,3,FALSE)</f>
        <v>0.2</v>
      </c>
      <c r="O21">
        <f>MAX(0,M21-J21*L21*(1-N21))</f>
        <v>236263.49104</v>
      </c>
      <c r="P21">
        <f>VLOOKUP(F21,Ratings!$A$2:$C$7,3,FALSE)</f>
        <v>0.5</v>
      </c>
      <c r="Q21">
        <f>ROUND(O21*P21,2)</f>
        <v>118131.75</v>
      </c>
      <c r="R21">
        <f>YEAR(K21)-2026</f>
        <v>8</v>
      </c>
      <c r="S21" t="str">
        <f>IF(R21&gt;=5,"Long",IF(R21&gt;=2,"Medium","Short"))</f>
        <v>Long</v>
      </c>
    </row>
    <row r="22">
      <c r="A22" t="inlineStr">
        <is>
          <t>C02021</t>
        </is>
      </c>
      <c r="B22" t="inlineStr">
        <is>
          <t>Summit Corp</t>
        </is>
      </c>
      <c r="C22" t="inlineStr">
        <is>
          <t>Corporate</t>
        </is>
      </c>
      <c r="D22" t="inlineStr">
        <is>
          <t>EMEA</t>
        </is>
      </c>
      <c r="E22" t="inlineStr">
        <is>
          <t>Revolver</t>
        </is>
      </c>
      <c r="F22" t="inlineStr">
        <is>
          <t>AA</t>
        </is>
      </c>
      <c r="G22" t="inlineStr">
        <is>
          <t>EG</t>
        </is>
      </c>
      <c r="H22" t="inlineStr">
        <is>
          <t>USD</t>
        </is>
      </c>
      <c r="I22" t="n">
        <v>15486737</v>
      </c>
      <c r="J22" t="n">
        <v>0</v>
      </c>
      <c r="K22" s="1" t="n">
        <v>47994</v>
      </c>
      <c r="L22">
        <f>VLOOKUP(H22,FX!$A$2:$B$8,2,FALSE)</f>
        <v>1</v>
      </c>
      <c r="M22">
        <f>ROUND(I22*L22,2)</f>
        <v>15486737</v>
      </c>
      <c r="N22">
        <f>VLOOKUP(E22,Products!$A$2:$C$7,3,FALSE)</f>
        <v>0.15</v>
      </c>
      <c r="O22">
        <f>MAX(0,M22-J22*L22*(1-N22))</f>
        <v>15486737</v>
      </c>
      <c r="P22">
        <f>VLOOKUP(F22,Ratings!$A$2:$C$7,3,FALSE)</f>
        <v>0.2</v>
      </c>
      <c r="Q22">
        <f>ROUND(O22*P22,2)</f>
        <v>3097347.4</v>
      </c>
      <c r="R22">
        <f>YEAR(K22)-2026</f>
        <v>5</v>
      </c>
      <c r="S22" t="str">
        <f>IF(R22&gt;=5,"Long",IF(R22&gt;=2,"Medium","Short"))</f>
        <v>Long</v>
      </c>
    </row>
    <row r="23">
      <c r="A23" t="inlineStr">
        <is>
          <t>C02022</t>
        </is>
      </c>
      <c r="B23" t="inlineStr">
        <is>
          <t>Summit Group</t>
        </is>
      </c>
      <c r="C23" t="inlineStr">
        <is>
          <t>Corporate</t>
        </is>
      </c>
      <c r="D23" t="inlineStr">
        <is>
          <t>EMEA</t>
        </is>
      </c>
      <c r="E23" t="inlineStr">
        <is>
          <t>Trade Finance</t>
        </is>
      </c>
      <c r="F23" t="inlineStr">
        <is>
          <t>AAA</t>
        </is>
      </c>
      <c r="G23" t="inlineStr">
        <is>
          <t>DE</t>
        </is>
      </c>
      <c r="H23" t="inlineStr">
        <is>
          <t>EUR</t>
        </is>
      </c>
      <c r="I23" t="n">
        <v>828257</v>
      </c>
      <c r="J23" t="n">
        <v>496954</v>
      </c>
      <c r="K23" s="1" t="n">
        <v>46678</v>
      </c>
      <c r="L23">
        <f>VLOOKUP(H23,FX!$A$2:$B$8,2,FALSE)</f>
        <v>1.08</v>
      </c>
      <c r="M23">
        <f>ROUND(I23*L23,2)</f>
        <v>894517.56</v>
      </c>
      <c r="N23">
        <f>VLOOKUP(E23,Products!$A$2:$C$7,3,FALSE)</f>
        <v>0.2</v>
      </c>
      <c r="O23">
        <f>MAX(0,M23-J23*L23*(1-N23))</f>
        <v>465149.304</v>
      </c>
      <c r="P23">
        <f>VLOOKUP(F23,Ratings!$A$2:$C$7,3,FALSE)</f>
        <v>0.2</v>
      </c>
      <c r="Q23">
        <f>ROUND(O23*P23,2)</f>
        <v>93029.86</v>
      </c>
      <c r="R23">
        <f>YEAR(K23)-2026</f>
        <v>1</v>
      </c>
      <c r="S23" t="str">
        <f>IF(R23&gt;=5,"Long",IF(R23&gt;=2,"Medium","Short"))</f>
        <v>Short</v>
      </c>
    </row>
    <row r="24">
      <c r="A24" t="inlineStr">
        <is>
          <t>C02023</t>
        </is>
      </c>
      <c r="B24" t="inlineStr">
        <is>
          <t>Delta Group</t>
        </is>
      </c>
      <c r="C24" t="inlineStr">
        <is>
          <t>Corporate</t>
        </is>
      </c>
      <c r="D24" t="inlineStr">
        <is>
          <t>APAC</t>
        </is>
      </c>
      <c r="E24" t="inlineStr">
        <is>
          <t>Revolver</t>
        </is>
      </c>
      <c r="F24" t="inlineStr">
        <is>
          <t>AAA</t>
        </is>
      </c>
      <c r="G24" t="inlineStr">
        <is>
          <t>SG</t>
        </is>
      </c>
      <c r="H24" t="inlineStr">
        <is>
          <t>SGD</t>
        </is>
      </c>
      <c r="I24" t="n">
        <v>655132</v>
      </c>
      <c r="J24" t="n">
        <v>0</v>
      </c>
      <c r="K24" s="1" t="n">
        <v>46807</v>
      </c>
      <c r="L24">
        <f>VLOOKUP(H24,FX!$A$2:$B$8,2,FALSE)</f>
        <v>0.74</v>
      </c>
      <c r="M24">
        <f>ROUND(I24*L24,2)</f>
        <v>484797.68</v>
      </c>
      <c r="N24">
        <f>VLOOKUP(E24,Products!$A$2:$C$7,3,FALSE)</f>
        <v>0.15</v>
      </c>
      <c r="O24">
        <f>MAX(0,M24-J24*L24*(1-N24))</f>
        <v>484797.68</v>
      </c>
      <c r="P24">
        <f>VLOOKUP(F24,Ratings!$A$2:$C$7,3,FALSE)</f>
        <v>0.2</v>
      </c>
      <c r="Q24">
        <f>ROUND(O24*P24,2)</f>
        <v>96959.54</v>
      </c>
      <c r="R24">
        <f>YEAR(K24)-2026</f>
        <v>2</v>
      </c>
      <c r="S24" t="str">
        <f>IF(R24&gt;=5,"Long",IF(R24&gt;=2,"Medium","Short"))</f>
        <v>Medium</v>
      </c>
    </row>
    <row r="25">
      <c r="A25" t="inlineStr">
        <is>
          <t>C02024</t>
        </is>
      </c>
      <c r="B25" t="inlineStr">
        <is>
          <t>Quartz Group</t>
        </is>
      </c>
      <c r="C25" t="inlineStr">
        <is>
          <t>Corporate</t>
        </is>
      </c>
      <c r="D25" t="inlineStr">
        <is>
          <t>AMER</t>
        </is>
      </c>
      <c r="E25" t="inlineStr">
        <is>
          <t>Term Loan</t>
        </is>
      </c>
      <c r="F25" t="inlineStr">
        <is>
          <t>BBB</t>
        </is>
      </c>
      <c r="G25" t="inlineStr">
        <is>
          <t>BR</t>
        </is>
      </c>
      <c r="H25" t="inlineStr">
        <is>
          <t>USD</t>
        </is>
      </c>
      <c r="I25" t="n">
        <v>2478018</v>
      </c>
      <c r="J25" t="n">
        <v>1486811</v>
      </c>
      <c r="K25" s="1" t="n">
        <v>47660</v>
      </c>
      <c r="L25">
        <f>VLOOKUP(H25,FX!$A$2:$B$8,2,FALSE)</f>
        <v>1</v>
      </c>
      <c r="M25">
        <f>ROUND(I25*L25,2)</f>
        <v>2478018</v>
      </c>
      <c r="N25">
        <f>VLOOKUP(E25,Products!$A$2:$C$7,3,FALSE)</f>
        <v>0.1</v>
      </c>
      <c r="O25">
        <f>MAX(0,M25-J25*L25*(1-N25))</f>
        <v>1139888.0999999999</v>
      </c>
      <c r="P25">
        <f>VLOOKUP(F25,Ratings!$A$2:$C$7,3,FALSE)</f>
        <v>1</v>
      </c>
      <c r="Q25">
        <f>ROUND(O25*P25,2)</f>
        <v>1139888.1</v>
      </c>
      <c r="R25">
        <f>YEAR(K25)-2026</f>
        <v>4</v>
      </c>
      <c r="S25" t="str">
        <f>IF(R25&gt;=5,"Long",IF(R25&gt;=2,"Medium","Short"))</f>
        <v>Medium</v>
      </c>
    </row>
    <row r="26">
      <c r="A26" t="inlineStr">
        <is>
          <t>C02025</t>
        </is>
      </c>
      <c r="B26" t="inlineStr">
        <is>
          <t>Cedar Ltd</t>
        </is>
      </c>
      <c r="C26" t="inlineStr">
        <is>
          <t>Corporate</t>
        </is>
      </c>
      <c r="D26" t="inlineStr">
        <is>
          <t>APAC</t>
        </is>
      </c>
      <c r="E26" t="inlineStr">
        <is>
          <t>Revolver</t>
        </is>
      </c>
      <c r="F26" t="inlineStr">
        <is>
          <t>BBB</t>
        </is>
      </c>
      <c r="G26" t="inlineStr">
        <is>
          <t>IN</t>
        </is>
      </c>
      <c r="H26" t="inlineStr">
        <is>
          <t>INR</t>
        </is>
      </c>
      <c r="I26" t="n">
        <v>15448078</v>
      </c>
      <c r="J26" t="n">
        <v>4634423</v>
      </c>
      <c r="K26" s="1" t="n">
        <v>46595</v>
      </c>
      <c r="L26">
        <f>VLOOKUP(H26,FX!$A$2:$B$8,2,FALSE)</f>
        <v>0.012</v>
      </c>
      <c r="M26">
        <f>ROUND(I26*L26,2)</f>
        <v>185376.94</v>
      </c>
      <c r="N26">
        <f>VLOOKUP(E26,Products!$A$2:$C$7,3,FALSE)</f>
        <v>0.15</v>
      </c>
      <c r="O26">
        <f>MAX(0,M26-J26*L26*(1-N26))</f>
        <v>138105.8254</v>
      </c>
      <c r="P26">
        <f>VLOOKUP(F26,Ratings!$A$2:$C$7,3,FALSE)</f>
        <v>1</v>
      </c>
      <c r="Q26">
        <f>ROUND(O26*P26,2)</f>
        <v>138105.83</v>
      </c>
      <c r="R26">
        <f>YEAR(K26)-2026</f>
        <v>1</v>
      </c>
      <c r="S26" t="str">
        <f>IF(R26&gt;=5,"Long",IF(R26&gt;=2,"Medium","Short"))</f>
        <v>Short</v>
      </c>
    </row>
    <row r="27">
      <c r="A27" t="inlineStr">
        <is>
          <t>C02026</t>
        </is>
      </c>
      <c r="B27" t="inlineStr">
        <is>
          <t>Atlas Ltd</t>
        </is>
      </c>
      <c r="C27" t="inlineStr">
        <is>
          <t>Corporate</t>
        </is>
      </c>
      <c r="D27" t="inlineStr">
        <is>
          <t>EMEA</t>
        </is>
      </c>
      <c r="E27" t="inlineStr">
        <is>
          <t>Trade Finance</t>
        </is>
      </c>
      <c r="F27" t="inlineStr">
        <is>
          <t>BBB</t>
        </is>
      </c>
      <c r="G27" t="inlineStr">
        <is>
          <t>AE</t>
        </is>
      </c>
      <c r="H27" t="inlineStr">
        <is>
          <t>AED</t>
        </is>
      </c>
      <c r="I27" t="n">
        <v>815268</v>
      </c>
      <c r="J27" t="n">
        <v>489161</v>
      </c>
      <c r="K27" s="1" t="n">
        <v>46867</v>
      </c>
      <c r="L27">
        <f>VLOOKUP(H27,FX!$A$2:$B$8,2,FALSE)</f>
        <v>0.2723</v>
      </c>
      <c r="M27">
        <f>ROUND(I27*L27,2)</f>
        <v>221997.48</v>
      </c>
      <c r="N27">
        <f>VLOOKUP(E27,Products!$A$2:$C$7,3,FALSE)</f>
        <v>0.2</v>
      </c>
      <c r="O27">
        <f>MAX(0,M27-J27*L27*(1-N27))</f>
        <v>115438.64776</v>
      </c>
      <c r="P27">
        <f>VLOOKUP(F27,Ratings!$A$2:$C$7,3,FALSE)</f>
        <v>1</v>
      </c>
      <c r="Q27">
        <f>ROUND(O27*P27,2)</f>
        <v>115438.65</v>
      </c>
      <c r="R27">
        <f>YEAR(K27)-2026</f>
        <v>2</v>
      </c>
      <c r="S27" t="str">
        <f>IF(R27&gt;=5,"Long",IF(R27&gt;=2,"Medium","Short"))</f>
        <v>Medium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Risk_Weight</t>
        </is>
      </c>
      <c r="O1" t="inlineStr">
        <is>
          <t>SME_Factor</t>
        </is>
      </c>
      <c r="P1" t="inlineStr">
        <is>
          <t>RWA</t>
        </is>
      </c>
      <c r="Q1" t="inlineStr">
        <is>
          <t>Capital_Required</t>
        </is>
      </c>
      <c r="R1" t="inlineStr">
        <is>
          <t>Label</t>
        </is>
      </c>
    </row>
    <row r="2">
      <c r="A2" t="inlineStr">
        <is>
          <t>S03001</t>
        </is>
      </c>
      <c r="B2" t="inlineStr">
        <is>
          <t>Meridian Holdings</t>
        </is>
      </c>
      <c r="C2" t="inlineStr">
        <is>
          <t>SME</t>
        </is>
      </c>
      <c r="D2" t="inlineStr">
        <is>
          <t>EMEA</t>
        </is>
      </c>
      <c r="E2" t="inlineStr">
        <is>
          <t>Personal Loan</t>
        </is>
      </c>
      <c r="F2" t="inlineStr">
        <is>
          <t>BB</t>
        </is>
      </c>
      <c r="G2" t="inlineStr">
        <is>
          <t>AE</t>
        </is>
      </c>
      <c r="H2" t="inlineStr">
        <is>
          <t>AED</t>
        </is>
      </c>
      <c r="I2" t="n">
        <v>17851</v>
      </c>
      <c r="J2" t="n">
        <v>5355</v>
      </c>
      <c r="K2" s="1" t="n">
        <v>47499</v>
      </c>
      <c r="L2">
        <f>VLOOKUP(H2,FX!$A$2:$B$8,2,FALSE)</f>
        <v>0.2723</v>
      </c>
      <c r="M2">
        <f>ROUND(I2*L2,2)</f>
        <v>4860.83</v>
      </c>
      <c r="N2">
        <f>VLOOKUP(F2,Ratings!$A$2:$C$7,3,FALSE)</f>
        <v>1</v>
      </c>
      <c r="O2">
        <f>IF(M2&lt;=1000000,0.7619,1)</f>
        <v>0.7619</v>
      </c>
      <c r="P2">
        <f>ROUND(M2*N2*O2,2)</f>
        <v>3703.47</v>
      </c>
      <c r="Q2">
        <f>ROUND(P2*0.08,2)</f>
        <v>296.28</v>
      </c>
      <c r="R2" t="str">
        <f>B2&amp;"-"&amp;G2</f>
        <v>Meridian Holdings-AE</v>
      </c>
    </row>
    <row r="3">
      <c r="A3" t="inlineStr">
        <is>
          <t>S03002</t>
        </is>
      </c>
      <c r="B3" t="inlineStr">
        <is>
          <t>Falcon Ltd</t>
        </is>
      </c>
      <c r="C3" t="inlineStr">
        <is>
          <t>SME</t>
        </is>
      </c>
      <c r="D3" t="inlineStr">
        <is>
          <t>APAC</t>
        </is>
      </c>
      <c r="E3" t="inlineStr">
        <is>
          <t>Revolver</t>
        </is>
      </c>
      <c r="F3" t="inlineStr">
        <is>
          <t>BBB</t>
        </is>
      </c>
      <c r="G3" t="inlineStr">
        <is>
          <t>SG</t>
        </is>
      </c>
      <c r="H3" t="inlineStr">
        <is>
          <t>SGD</t>
        </is>
      </c>
      <c r="I3" t="n">
        <v>23311</v>
      </c>
      <c r="J3" t="n">
        <v>0</v>
      </c>
      <c r="K3" s="1" t="n">
        <v>49182</v>
      </c>
      <c r="L3">
        <f>VLOOKUP(H3,FX!$A$2:$B$8,2,FALSE)</f>
        <v>0.74</v>
      </c>
      <c r="M3">
        <f>ROUND(I3*L3,2)</f>
        <v>17250.14</v>
      </c>
      <c r="N3">
        <f>VLOOKUP(F3,Ratings!$A$2:$C$7,3,FALSE)</f>
        <v>1</v>
      </c>
      <c r="O3">
        <f>IF(M3&lt;=1000000,0.7619,1)</f>
        <v>0.7619</v>
      </c>
      <c r="P3">
        <f>ROUND(M3*N3*O3,2)</f>
        <v>13142.88</v>
      </c>
      <c r="Q3">
        <f>ROUND(P3*0.08,2)</f>
        <v>1051.43</v>
      </c>
      <c r="R3" t="str">
        <f>B3&amp;"-"&amp;G3</f>
        <v>Falcon Ltd-SG</v>
      </c>
    </row>
    <row r="4">
      <c r="A4" t="inlineStr">
        <is>
          <t>S03003</t>
        </is>
      </c>
      <c r="B4" t="inlineStr">
        <is>
          <t>Granite Corp</t>
        </is>
      </c>
      <c r="C4" t="inlineStr">
        <is>
          <t>SME</t>
        </is>
      </c>
      <c r="D4" t="inlineStr">
        <is>
          <t>EMEA</t>
        </is>
      </c>
      <c r="E4" t="inlineStr">
        <is>
          <t>Term Loan</t>
        </is>
      </c>
      <c r="F4" t="inlineStr">
        <is>
          <t>BB</t>
        </is>
      </c>
      <c r="G4" t="inlineStr">
        <is>
          <t>FR</t>
        </is>
      </c>
      <c r="H4" t="inlineStr">
        <is>
          <t>EUR</t>
        </is>
      </c>
      <c r="I4" t="n">
        <v>16214</v>
      </c>
      <c r="J4" t="n">
        <v>9728</v>
      </c>
      <c r="K4" s="1" t="n">
        <v>49195</v>
      </c>
      <c r="L4">
        <f>VLOOKUP(H4,FX!$A$2:$B$8,2,FALSE)</f>
        <v>1.08</v>
      </c>
      <c r="M4">
        <f>ROUND(I4*L4,2)</f>
        <v>17511.12</v>
      </c>
      <c r="N4">
        <f>VLOOKUP(F4,Ratings!$A$2:$C$7,3,FALSE)</f>
        <v>1</v>
      </c>
      <c r="O4">
        <f>IF(M4&lt;=1000000,0.7619,1)</f>
        <v>0.7619</v>
      </c>
      <c r="P4">
        <f>ROUND(M4*N4*O4,2)</f>
        <v>13341.72</v>
      </c>
      <c r="Q4">
        <f>ROUND(P4*0.08,2)</f>
        <v>1067.34</v>
      </c>
      <c r="R4" t="str">
        <f>B4&amp;"-"&amp;G4</f>
        <v>Granite Corp-FR</v>
      </c>
    </row>
    <row r="5">
      <c r="A5" t="inlineStr">
        <is>
          <t>S03004</t>
        </is>
      </c>
      <c r="B5" t="inlineStr">
        <is>
          <t>Juniper Holdings</t>
        </is>
      </c>
      <c r="C5" t="inlineStr">
        <is>
          <t>SME</t>
        </is>
      </c>
      <c r="D5" t="inlineStr">
        <is>
          <t>APAC</t>
        </is>
      </c>
      <c r="E5" t="inlineStr">
        <is>
          <t>Revolver</t>
        </is>
      </c>
      <c r="F5" t="inlineStr">
        <is>
          <t>A</t>
        </is>
      </c>
      <c r="G5" t="inlineStr">
        <is>
          <t>IN</t>
        </is>
      </c>
      <c r="H5" t="inlineStr">
        <is>
          <t>INR</t>
        </is>
      </c>
      <c r="I5" t="n">
        <v>241052</v>
      </c>
      <c r="J5" t="n">
        <v>144631</v>
      </c>
      <c r="K5" s="1" t="n">
        <v>48021</v>
      </c>
      <c r="L5">
        <f>VLOOKUP(H5,FX!$A$2:$B$8,2,FALSE)</f>
        <v>0.012</v>
      </c>
      <c r="M5">
        <f>ROUND(I5*L5,2)</f>
        <v>2892.62</v>
      </c>
      <c r="N5">
        <f>VLOOKUP(F5,Ratings!$A$2:$C$7,3,FALSE)</f>
        <v>0.5</v>
      </c>
      <c r="O5">
        <f>IF(M5&lt;=1000000,0.7619,1)</f>
        <v>0.7619</v>
      </c>
      <c r="P5">
        <f>ROUND(M5*N5*O5,2)</f>
        <v>1101.94</v>
      </c>
      <c r="Q5">
        <f>ROUND(P5*0.08,2)</f>
        <v>88.16</v>
      </c>
      <c r="R5" t="str">
        <f>B5&amp;"-"&amp;G5</f>
        <v>Juniper Holdings-IN</v>
      </c>
    </row>
    <row r="6">
      <c r="A6" t="inlineStr">
        <is>
          <t>S03005</t>
        </is>
      </c>
      <c r="B6" t="inlineStr">
        <is>
          <t>Granite Corp</t>
        </is>
      </c>
      <c r="C6" t="inlineStr">
        <is>
          <t>SME</t>
        </is>
      </c>
      <c r="D6" t="inlineStr">
        <is>
          <t>AMER</t>
        </is>
      </c>
      <c r="E6" t="inlineStr">
        <is>
          <t>Revolver</t>
        </is>
      </c>
      <c r="F6" t="inlineStr">
        <is>
          <t>BBB</t>
        </is>
      </c>
      <c r="G6" t="inlineStr">
        <is>
          <t>US</t>
        </is>
      </c>
      <c r="H6" t="inlineStr">
        <is>
          <t>USD</t>
        </is>
      </c>
      <c r="I6" t="n">
        <v>18793</v>
      </c>
      <c r="J6" t="n">
        <v>16914</v>
      </c>
      <c r="K6" s="1" t="n">
        <v>49090</v>
      </c>
      <c r="L6">
        <f>VLOOKUP(H6,FX!$A$2:$B$8,2,FALSE)</f>
        <v>1</v>
      </c>
      <c r="M6">
        <f>ROUND(I6*L6,2)</f>
        <v>18793</v>
      </c>
      <c r="N6">
        <f>VLOOKUP(F6,Ratings!$A$2:$C$7,3,FALSE)</f>
        <v>1</v>
      </c>
      <c r="O6">
        <f>IF(M6&lt;=1000000,0.7619,1)</f>
        <v>0.7619</v>
      </c>
      <c r="P6">
        <f>ROUND(M6*N6*O6,2)</f>
        <v>14318.39</v>
      </c>
      <c r="Q6">
        <f>ROUND(P6*0.08,2)</f>
        <v>1145.47</v>
      </c>
      <c r="R6" t="str">
        <f>B6&amp;"-"&amp;G6</f>
        <v>Granite Corp-US</v>
      </c>
    </row>
    <row r="7">
      <c r="A7" t="inlineStr">
        <is>
          <t>S03006</t>
        </is>
      </c>
      <c r="B7" t="inlineStr">
        <is>
          <t>Orion Corp</t>
        </is>
      </c>
      <c r="C7" t="inlineStr">
        <is>
          <t>SME</t>
        </is>
      </c>
      <c r="D7" t="inlineStr">
        <is>
          <t>EMEA</t>
        </is>
      </c>
      <c r="E7" t="inlineStr">
        <is>
          <t>Term Loan</t>
        </is>
      </c>
      <c r="F7" t="inlineStr">
        <is>
          <t>B</t>
        </is>
      </c>
      <c r="G7" t="inlineStr">
        <is>
          <t>DE</t>
        </is>
      </c>
      <c r="H7" t="inlineStr">
        <is>
          <t>EUR</t>
        </is>
      </c>
      <c r="I7" t="n">
        <v>372941</v>
      </c>
      <c r="J7" t="n">
        <v>223765</v>
      </c>
      <c r="K7" s="1" t="n">
        <v>49017</v>
      </c>
      <c r="L7">
        <f>VLOOKUP(H7,FX!$A$2:$B$8,2,FALSE)</f>
        <v>1.08</v>
      </c>
      <c r="M7">
        <f>ROUND(I7*L7,2)</f>
        <v>402776.28</v>
      </c>
      <c r="N7">
        <f>VLOOKUP(F7,Ratings!$A$2:$C$7,3,FALSE)</f>
        <v>1.5</v>
      </c>
      <c r="O7">
        <f>IF(M7&lt;=1000000,0.7619,1)</f>
        <v>0.7619</v>
      </c>
      <c r="P7">
        <f>ROUND(M7*N7*O7,2)</f>
        <v>460312.87</v>
      </c>
      <c r="Q7">
        <f>ROUND(P7*0.08,2)</f>
        <v>36825.03</v>
      </c>
      <c r="R7" t="str">
        <f>B7&amp;"-"&amp;G7</f>
        <v>Orion Corp-DE</v>
      </c>
    </row>
    <row r="8">
      <c r="A8" t="inlineStr">
        <is>
          <t>S03007</t>
        </is>
      </c>
      <c r="B8" t="inlineStr">
        <is>
          <t>Quartz Corp</t>
        </is>
      </c>
      <c r="C8" t="inlineStr">
        <is>
          <t>SME</t>
        </is>
      </c>
      <c r="D8" t="inlineStr">
        <is>
          <t>EMEA</t>
        </is>
      </c>
      <c r="E8" t="inlineStr">
        <is>
          <t>Term Loan</t>
        </is>
      </c>
      <c r="F8" t="inlineStr">
        <is>
          <t>B</t>
        </is>
      </c>
      <c r="G8" t="inlineStr">
        <is>
          <t>FR</t>
        </is>
      </c>
      <c r="H8" t="inlineStr">
        <is>
          <t>EUR</t>
        </is>
      </c>
      <c r="I8" t="n">
        <v>112038</v>
      </c>
      <c r="J8" t="n">
        <v>100834</v>
      </c>
      <c r="K8" s="1" t="n">
        <v>47744</v>
      </c>
      <c r="L8">
        <f>VLOOKUP(H8,FX!$A$2:$B$8,2,FALSE)</f>
        <v>1.08</v>
      </c>
      <c r="M8">
        <f>ROUND(I8*L8,2)</f>
        <v>121001.04</v>
      </c>
      <c r="N8">
        <f>VLOOKUP(F8,Ratings!$A$2:$C$7,3,FALSE)</f>
        <v>1.5</v>
      </c>
      <c r="O8">
        <f>IF(M8&lt;=1000000,0.7619,1)</f>
        <v>0.7619</v>
      </c>
      <c r="P8">
        <f>ROUND(M8*N8*O8,2)</f>
        <v>138286.04</v>
      </c>
      <c r="Q8">
        <f>ROUND(P8*0.08,2)</f>
        <v>11062.88</v>
      </c>
      <c r="R8" t="str">
        <f>B8&amp;"-"&amp;G8</f>
        <v>Quartz Corp-FR</v>
      </c>
    </row>
    <row r="9">
      <c r="A9" t="inlineStr">
        <is>
          <t>S03008</t>
        </is>
      </c>
      <c r="B9" t="inlineStr">
        <is>
          <t>Everest Corp</t>
        </is>
      </c>
      <c r="C9" t="inlineStr">
        <is>
          <t>SME</t>
        </is>
      </c>
      <c r="D9" t="inlineStr">
        <is>
          <t>EMEA</t>
        </is>
      </c>
      <c r="E9" t="inlineStr">
        <is>
          <t>Personal Loan</t>
        </is>
      </c>
      <c r="F9" t="inlineStr">
        <is>
          <t>AAA</t>
        </is>
      </c>
      <c r="G9" t="inlineStr">
        <is>
          <t>DE</t>
        </is>
      </c>
      <c r="H9" t="inlineStr">
        <is>
          <t>EUR</t>
        </is>
      </c>
      <c r="I9" t="n">
        <v>14016</v>
      </c>
      <c r="J9" t="n">
        <v>4205</v>
      </c>
      <c r="K9" s="1" t="n">
        <v>47779</v>
      </c>
      <c r="L9">
        <f>VLOOKUP(H9,FX!$A$2:$B$8,2,FALSE)</f>
        <v>1.08</v>
      </c>
      <c r="M9">
        <f>ROUND(I9*L9,2)</f>
        <v>15137.28</v>
      </c>
      <c r="N9">
        <f>VLOOKUP(F9,Ratings!$A$2:$C$7,3,FALSE)</f>
        <v>0.2</v>
      </c>
      <c r="O9">
        <f>IF(M9&lt;=1000000,0.7619,1)</f>
        <v>0.7619</v>
      </c>
      <c r="P9">
        <f>ROUND(M9*N9*O9,2)</f>
        <v>2306.62</v>
      </c>
      <c r="Q9">
        <f>ROUND(P9*0.08,2)</f>
        <v>184.53</v>
      </c>
      <c r="R9" t="str">
        <f>B9&amp;"-"&amp;G9</f>
        <v>Everest Corp-DE</v>
      </c>
    </row>
    <row r="10">
      <c r="A10" t="inlineStr">
        <is>
          <t>S03009</t>
        </is>
      </c>
      <c r="B10" t="inlineStr">
        <is>
          <t>Summit Group</t>
        </is>
      </c>
      <c r="C10" t="inlineStr">
        <is>
          <t>SME</t>
        </is>
      </c>
      <c r="D10" t="inlineStr">
        <is>
          <t>AMER</t>
        </is>
      </c>
      <c r="E10" t="inlineStr">
        <is>
          <t>Revolver</t>
        </is>
      </c>
      <c r="F10" t="inlineStr">
        <is>
          <t>AAA</t>
        </is>
      </c>
      <c r="G10" t="inlineStr">
        <is>
          <t>US</t>
        </is>
      </c>
      <c r="H10" t="inlineStr">
        <is>
          <t>USD</t>
        </is>
      </c>
      <c r="I10" t="n">
        <v>224915</v>
      </c>
      <c r="J10" t="n">
        <v>0</v>
      </c>
      <c r="K10" s="1" t="n">
        <v>47960</v>
      </c>
      <c r="L10">
        <f>VLOOKUP(H10,FX!$A$2:$B$8,2,FALSE)</f>
        <v>1</v>
      </c>
      <c r="M10">
        <f>ROUND(I10*L10,2)</f>
        <v>224915</v>
      </c>
      <c r="N10">
        <f>VLOOKUP(F10,Ratings!$A$2:$C$7,3,FALSE)</f>
        <v>0.2</v>
      </c>
      <c r="O10">
        <f>IF(M10&lt;=1000000,0.7619,1)</f>
        <v>0.7619</v>
      </c>
      <c r="P10">
        <f>ROUND(M10*N10*O10,2)</f>
        <v>34272.55</v>
      </c>
      <c r="Q10">
        <f>ROUND(P10*0.08,2)</f>
        <v>2741.8</v>
      </c>
      <c r="R10" t="str">
        <f>B10&amp;"-"&amp;G10</f>
        <v>Summit Group-US</v>
      </c>
    </row>
    <row r="11">
      <c r="A11" t="inlineStr">
        <is>
          <t>S03010</t>
        </is>
      </c>
      <c r="B11" t="inlineStr">
        <is>
          <t>Quartz Holdings</t>
        </is>
      </c>
      <c r="C11" t="inlineStr">
        <is>
          <t>SME</t>
        </is>
      </c>
      <c r="D11" t="inlineStr">
        <is>
          <t>EMEA</t>
        </is>
      </c>
      <c r="E11" t="inlineStr">
        <is>
          <t>Term Loan</t>
        </is>
      </c>
      <c r="F11" t="inlineStr">
        <is>
          <t>AA</t>
        </is>
      </c>
      <c r="G11" t="inlineStr">
        <is>
          <t>AE</t>
        </is>
      </c>
      <c r="H11" t="inlineStr">
        <is>
          <t>AED</t>
        </is>
      </c>
      <c r="I11" t="n">
        <v>5130</v>
      </c>
      <c r="J11" t="n">
        <v>1539</v>
      </c>
      <c r="K11" s="1" t="n">
        <v>47616</v>
      </c>
      <c r="L11">
        <f>VLOOKUP(H11,FX!$A$2:$B$8,2,FALSE)</f>
        <v>0.2723</v>
      </c>
      <c r="M11">
        <f>ROUND(I11*L11,2)</f>
        <v>1396.9</v>
      </c>
      <c r="N11">
        <f>VLOOKUP(F11,Ratings!$A$2:$C$7,3,FALSE)</f>
        <v>0.2</v>
      </c>
      <c r="O11">
        <f>IF(M11&lt;=1000000,0.7619,1)</f>
        <v>0.7619</v>
      </c>
      <c r="P11">
        <f>ROUND(M11*N11*O11,2)</f>
        <v>212.86</v>
      </c>
      <c r="Q11">
        <f>ROUND(P11*0.08,2)</f>
        <v>17.03</v>
      </c>
      <c r="R11" t="str">
        <f>B11&amp;"-"&amp;G11</f>
        <v>Quartz Holdings-AE</v>
      </c>
    </row>
    <row r="12">
      <c r="A12" t="inlineStr">
        <is>
          <t>S03011</t>
        </is>
      </c>
      <c r="B12" t="inlineStr">
        <is>
          <t>Cedar Group</t>
        </is>
      </c>
      <c r="C12" t="inlineStr">
        <is>
          <t>SME</t>
        </is>
      </c>
      <c r="D12" t="inlineStr">
        <is>
          <t>EMEA</t>
        </is>
      </c>
      <c r="E12" t="inlineStr">
        <is>
          <t>Revolver</t>
        </is>
      </c>
      <c r="F12" t="inlineStr">
        <is>
          <t>AAA</t>
        </is>
      </c>
      <c r="G12" t="inlineStr">
        <is>
          <t>EG</t>
        </is>
      </c>
      <c r="H12" t="inlineStr">
        <is>
          <t>USD</t>
        </is>
      </c>
      <c r="I12" t="n">
        <v>330086</v>
      </c>
      <c r="J12" t="n">
        <v>0</v>
      </c>
      <c r="K12" s="1" t="n">
        <v>46704</v>
      </c>
      <c r="L12">
        <f>VLOOKUP(H12,FX!$A$2:$B$8,2,FALSE)</f>
        <v>1</v>
      </c>
      <c r="M12">
        <f>ROUND(I12*L12,2)</f>
        <v>330086</v>
      </c>
      <c r="N12">
        <f>VLOOKUP(F12,Ratings!$A$2:$C$7,3,FALSE)</f>
        <v>0.2</v>
      </c>
      <c r="O12">
        <f>IF(M12&lt;=1000000,0.7619,1)</f>
        <v>0.7619</v>
      </c>
      <c r="P12">
        <f>ROUND(M12*N12*O12,2)</f>
        <v>50298.5</v>
      </c>
      <c r="Q12">
        <f>ROUND(P12*0.08,2)</f>
        <v>4023.88</v>
      </c>
      <c r="R12" t="str">
        <f>B12&amp;"-"&amp;G12</f>
        <v>Cedar Group-EG</v>
      </c>
    </row>
    <row r="13">
      <c r="A13" t="inlineStr">
        <is>
          <t>S03012</t>
        </is>
      </c>
      <c r="B13" t="inlineStr">
        <is>
          <t>Atlas Holdings</t>
        </is>
      </c>
      <c r="C13" t="inlineStr">
        <is>
          <t>SME</t>
        </is>
      </c>
      <c r="D13" t="inlineStr">
        <is>
          <t>AMER</t>
        </is>
      </c>
      <c r="E13" t="inlineStr">
        <is>
          <t>Personal Loan</t>
        </is>
      </c>
      <c r="F13" t="inlineStr">
        <is>
          <t>B</t>
        </is>
      </c>
      <c r="G13" t="inlineStr">
        <is>
          <t>BR</t>
        </is>
      </c>
      <c r="H13" t="inlineStr">
        <is>
          <t>USD</t>
        </is>
      </c>
      <c r="I13" t="n">
        <v>5462</v>
      </c>
      <c r="J13" t="n">
        <v>3277</v>
      </c>
      <c r="K13" s="1" t="n">
        <v>46892</v>
      </c>
      <c r="L13">
        <f>VLOOKUP(H13,FX!$A$2:$B$8,2,FALSE)</f>
        <v>1</v>
      </c>
      <c r="M13">
        <f>ROUND(I13*L13,2)</f>
        <v>5462</v>
      </c>
      <c r="N13">
        <f>VLOOKUP(F13,Ratings!$A$2:$C$7,3,FALSE)</f>
        <v>1.5</v>
      </c>
      <c r="O13">
        <f>IF(M13&lt;=1000000,0.7619,1)</f>
        <v>0.7619</v>
      </c>
      <c r="P13">
        <f>ROUND(M13*N13*O13,2)</f>
        <v>6242.25</v>
      </c>
      <c r="Q13">
        <f>ROUND(P13*0.08,2)</f>
        <v>499.38</v>
      </c>
      <c r="R13" t="str">
        <f>B13&amp;"-"&amp;G13</f>
        <v>Atlas Holdings-BR</v>
      </c>
    </row>
    <row r="14">
      <c r="A14" t="inlineStr">
        <is>
          <t>S03013</t>
        </is>
      </c>
      <c r="B14" t="inlineStr">
        <is>
          <t>Everest Group</t>
        </is>
      </c>
      <c r="C14" t="inlineStr">
        <is>
          <t>SME</t>
        </is>
      </c>
      <c r="D14" t="inlineStr">
        <is>
          <t>EMEA</t>
        </is>
      </c>
      <c r="E14" t="inlineStr">
        <is>
          <t>Term Loan</t>
        </is>
      </c>
      <c r="F14" t="inlineStr">
        <is>
          <t>B</t>
        </is>
      </c>
      <c r="G14" t="inlineStr">
        <is>
          <t>AE</t>
        </is>
      </c>
      <c r="H14" t="inlineStr">
        <is>
          <t>AED</t>
        </is>
      </c>
      <c r="I14" t="n">
        <v>24818</v>
      </c>
      <c r="J14" t="n">
        <v>14891</v>
      </c>
      <c r="K14" s="1" t="n">
        <v>49288</v>
      </c>
      <c r="L14">
        <f>VLOOKUP(H14,FX!$A$2:$B$8,2,FALSE)</f>
        <v>0.2723</v>
      </c>
      <c r="M14">
        <f>ROUND(I14*L14,2)</f>
        <v>6757.94</v>
      </c>
      <c r="N14">
        <f>VLOOKUP(F14,Ratings!$A$2:$C$7,3,FALSE)</f>
        <v>1.5</v>
      </c>
      <c r="O14">
        <f>IF(M14&lt;=1000000,0.7619,1)</f>
        <v>0.7619</v>
      </c>
      <c r="P14">
        <f>ROUND(M14*N14*O14,2)</f>
        <v>7723.31</v>
      </c>
      <c r="Q14">
        <f>ROUND(P14*0.08,2)</f>
        <v>617.86</v>
      </c>
      <c r="R14" t="str">
        <f>B14&amp;"-"&amp;G14</f>
        <v>Everest Group-AE</v>
      </c>
    </row>
    <row r="15">
      <c r="A15" t="inlineStr">
        <is>
          <t>S03014</t>
        </is>
      </c>
      <c r="B15" t="inlineStr">
        <is>
          <t>Granite Holdings</t>
        </is>
      </c>
      <c r="C15" t="inlineStr">
        <is>
          <t>SME</t>
        </is>
      </c>
      <c r="D15" t="inlineStr">
        <is>
          <t>APAC</t>
        </is>
      </c>
      <c r="E15" t="inlineStr">
        <is>
          <t>Personal Loan</t>
        </is>
      </c>
      <c r="F15" t="inlineStr">
        <is>
          <t>B</t>
        </is>
      </c>
      <c r="G15" t="inlineStr">
        <is>
          <t>ID</t>
        </is>
      </c>
      <c r="H15" t="inlineStr">
        <is>
          <t>USD</t>
        </is>
      </c>
      <c r="I15" t="n">
        <v>4269</v>
      </c>
      <c r="J15" t="n">
        <v>0</v>
      </c>
      <c r="K15" s="1" t="n">
        <v>47612</v>
      </c>
      <c r="L15">
        <f>VLOOKUP(H15,FX!$A$2:$B$8,2,FALSE)</f>
        <v>1</v>
      </c>
      <c r="M15">
        <f>ROUND(I15*L15,2)</f>
        <v>4269</v>
      </c>
      <c r="N15">
        <f>VLOOKUP(F15,Ratings!$A$2:$C$7,3,FALSE)</f>
        <v>1.5</v>
      </c>
      <c r="O15">
        <f>IF(M15&lt;=1000000,0.7619,1)</f>
        <v>0.7619</v>
      </c>
      <c r="P15">
        <f>ROUND(M15*N15*O15,2)</f>
        <v>4878.83</v>
      </c>
      <c r="Q15">
        <f>ROUND(P15*0.08,2)</f>
        <v>390.31</v>
      </c>
      <c r="R15" t="str">
        <f>B15&amp;"-"&amp;G15</f>
        <v>Granite Holdings-ID</v>
      </c>
    </row>
    <row r="16">
      <c r="A16" t="inlineStr">
        <is>
          <t>S03015</t>
        </is>
      </c>
      <c r="B16" t="inlineStr">
        <is>
          <t>Meridian Ltd</t>
        </is>
      </c>
      <c r="C16" t="inlineStr">
        <is>
          <t>SME</t>
        </is>
      </c>
      <c r="D16" t="inlineStr">
        <is>
          <t>AMER</t>
        </is>
      </c>
      <c r="E16" t="inlineStr">
        <is>
          <t>Personal Loan</t>
        </is>
      </c>
      <c r="F16" t="inlineStr">
        <is>
          <t>AAA</t>
        </is>
      </c>
      <c r="G16" t="inlineStr">
        <is>
          <t>BR</t>
        </is>
      </c>
      <c r="H16" t="inlineStr">
        <is>
          <t>USD</t>
        </is>
      </c>
      <c r="I16" t="n">
        <v>87130</v>
      </c>
      <c r="J16" t="n">
        <v>0</v>
      </c>
      <c r="K16" s="1" t="n">
        <v>48980</v>
      </c>
      <c r="L16">
        <f>VLOOKUP(H16,FX!$A$2:$B$8,2,FALSE)</f>
        <v>1</v>
      </c>
      <c r="M16">
        <f>ROUND(I16*L16,2)</f>
        <v>87130</v>
      </c>
      <c r="N16">
        <f>VLOOKUP(F16,Ratings!$A$2:$C$7,3,FALSE)</f>
        <v>0.2</v>
      </c>
      <c r="O16">
        <f>IF(M16&lt;=1000000,0.7619,1)</f>
        <v>0.7619</v>
      </c>
      <c r="P16">
        <f>ROUND(M16*N16*O16,2)</f>
        <v>13276.87</v>
      </c>
      <c r="Q16">
        <f>ROUND(P16*0.08,2)</f>
        <v>1062.15</v>
      </c>
      <c r="R16" t="str">
        <f>B16&amp;"-"&amp;G16</f>
        <v>Meridian Ltd-BR</v>
      </c>
    </row>
    <row r="17">
      <c r="A17" t="inlineStr">
        <is>
          <t>S03016</t>
        </is>
      </c>
      <c r="B17" t="inlineStr">
        <is>
          <t>Meridian Ltd</t>
        </is>
      </c>
      <c r="C17" t="inlineStr">
        <is>
          <t>SME</t>
        </is>
      </c>
      <c r="D17" t="inlineStr">
        <is>
          <t>AMER</t>
        </is>
      </c>
      <c r="E17" t="inlineStr">
        <is>
          <t>Personal Loan</t>
        </is>
      </c>
      <c r="F17" t="inlineStr">
        <is>
          <t>BBB</t>
        </is>
      </c>
      <c r="G17" t="inlineStr">
        <is>
          <t>CA</t>
        </is>
      </c>
      <c r="H17" t="inlineStr">
        <is>
          <t>USD</t>
        </is>
      </c>
      <c r="I17" t="n">
        <v>16158</v>
      </c>
      <c r="J17" t="n">
        <v>14542</v>
      </c>
      <c r="K17" s="1" t="n">
        <v>46426</v>
      </c>
      <c r="L17">
        <f>VLOOKUP(H17,FX!$A$2:$B$8,2,FALSE)</f>
        <v>1</v>
      </c>
      <c r="M17">
        <f>ROUND(I17*L17,2)</f>
        <v>16158</v>
      </c>
      <c r="N17">
        <f>VLOOKUP(F17,Ratings!$A$2:$C$7,3,FALSE)</f>
        <v>1</v>
      </c>
      <c r="O17">
        <f>IF(M17&lt;=1000000,0.7619,1)</f>
        <v>0.7619</v>
      </c>
      <c r="P17">
        <f>ROUND(M17*N17*O17,2)</f>
        <v>12310.78</v>
      </c>
      <c r="Q17">
        <f>ROUND(P17*0.08,2)</f>
        <v>984.86</v>
      </c>
      <c r="R17" t="str">
        <f>B17&amp;"-"&amp;G17</f>
        <v>Meridian Ltd-CA</v>
      </c>
    </row>
    <row r="18">
      <c r="A18" t="inlineStr">
        <is>
          <t>S03017</t>
        </is>
      </c>
      <c r="B18" t="inlineStr">
        <is>
          <t>Cedar Group</t>
        </is>
      </c>
      <c r="C18" t="inlineStr">
        <is>
          <t>SME</t>
        </is>
      </c>
      <c r="D18" t="inlineStr">
        <is>
          <t>EMEA</t>
        </is>
      </c>
      <c r="E18" t="inlineStr">
        <is>
          <t>Term Loan</t>
        </is>
      </c>
      <c r="F18" t="inlineStr">
        <is>
          <t>BBB</t>
        </is>
      </c>
      <c r="G18" t="inlineStr">
        <is>
          <t>DE</t>
        </is>
      </c>
      <c r="H18" t="inlineStr">
        <is>
          <t>EUR</t>
        </is>
      </c>
      <c r="I18" t="n">
        <v>283231</v>
      </c>
      <c r="J18" t="n">
        <v>254908</v>
      </c>
      <c r="K18" s="1" t="n">
        <v>47064</v>
      </c>
      <c r="L18">
        <f>VLOOKUP(H18,FX!$A$2:$B$8,2,FALSE)</f>
        <v>1.08</v>
      </c>
      <c r="M18">
        <f>ROUND(I18*L18,2)</f>
        <v>305889.48</v>
      </c>
      <c r="N18">
        <f>VLOOKUP(F18,Ratings!$A$2:$C$7,3,FALSE)</f>
        <v>1</v>
      </c>
      <c r="O18">
        <f>IF(M18&lt;=1000000,0.7619,1)</f>
        <v>0.7619</v>
      </c>
      <c r="P18">
        <f>ROUND(M18*N18*O18,2)</f>
        <v>233057.19</v>
      </c>
      <c r="Q18">
        <f>ROUND(P18*0.08,2)</f>
        <v>18644.58</v>
      </c>
      <c r="R18" t="str">
        <f>B18&amp;"-"&amp;G18</f>
        <v>Cedar Group-DE</v>
      </c>
    </row>
    <row r="19">
      <c r="A19" t="inlineStr">
        <is>
          <t>S03018</t>
        </is>
      </c>
      <c r="B19" t="inlineStr">
        <is>
          <t>Titan Ltd</t>
        </is>
      </c>
      <c r="C19" t="inlineStr">
        <is>
          <t>SME</t>
        </is>
      </c>
      <c r="D19" t="inlineStr">
        <is>
          <t>EMEA</t>
        </is>
      </c>
      <c r="E19" t="inlineStr">
        <is>
          <t>Revolver</t>
        </is>
      </c>
      <c r="F19" t="inlineStr">
        <is>
          <t>B</t>
        </is>
      </c>
      <c r="G19" t="inlineStr">
        <is>
          <t>AE</t>
        </is>
      </c>
      <c r="H19" t="inlineStr">
        <is>
          <t>AED</t>
        </is>
      </c>
      <c r="I19" t="n">
        <v>112752</v>
      </c>
      <c r="J19" t="n">
        <v>67651</v>
      </c>
      <c r="K19" s="1" t="n">
        <v>49289</v>
      </c>
      <c r="L19">
        <f>VLOOKUP(H19,FX!$A$2:$B$8,2,FALSE)</f>
        <v>0.2723</v>
      </c>
      <c r="M19">
        <f>ROUND(I19*L19,2)</f>
        <v>30702.37</v>
      </c>
      <c r="N19">
        <f>VLOOKUP(F19,Ratings!$A$2:$C$7,3,FALSE)</f>
        <v>1.5</v>
      </c>
      <c r="O19">
        <f>IF(M19&lt;=1000000,0.7619,1)</f>
        <v>0.7619</v>
      </c>
      <c r="P19">
        <f>ROUND(M19*N19*O19,2)</f>
        <v>35088.2</v>
      </c>
      <c r="Q19">
        <f>ROUND(P19*0.08,2)</f>
        <v>2807.06</v>
      </c>
      <c r="R19" t="str">
        <f>B19&amp;"-"&amp;G19</f>
        <v>Titan Ltd-AE</v>
      </c>
    </row>
    <row r="20">
      <c r="A20" t="inlineStr">
        <is>
          <t>S03019</t>
        </is>
      </c>
      <c r="B20" t="inlineStr">
        <is>
          <t>Granite Group</t>
        </is>
      </c>
      <c r="C20" t="inlineStr">
        <is>
          <t>SME</t>
        </is>
      </c>
      <c r="D20" t="inlineStr">
        <is>
          <t>EMEA</t>
        </is>
      </c>
      <c r="E20" t="inlineStr">
        <is>
          <t>Personal Loan</t>
        </is>
      </c>
      <c r="F20" t="inlineStr">
        <is>
          <t>A</t>
        </is>
      </c>
      <c r="G20" t="inlineStr">
        <is>
          <t>EG</t>
        </is>
      </c>
      <c r="H20" t="inlineStr">
        <is>
          <t>USD</t>
        </is>
      </c>
      <c r="I20" t="n">
        <v>4282</v>
      </c>
      <c r="J20" t="n">
        <v>2569</v>
      </c>
      <c r="K20" s="1" t="n">
        <v>46643</v>
      </c>
      <c r="L20">
        <f>VLOOKUP(H20,FX!$A$2:$B$8,2,FALSE)</f>
        <v>1</v>
      </c>
      <c r="M20">
        <f>ROUND(I20*L20,2)</f>
        <v>4282</v>
      </c>
      <c r="N20">
        <f>VLOOKUP(F20,Ratings!$A$2:$C$7,3,FALSE)</f>
        <v>0.5</v>
      </c>
      <c r="O20">
        <f>IF(M20&lt;=1000000,0.7619,1)</f>
        <v>0.7619</v>
      </c>
      <c r="P20">
        <f>ROUND(M20*N20*O20,2)</f>
        <v>1631.23</v>
      </c>
      <c r="Q20">
        <f>ROUND(P20*0.08,2)</f>
        <v>130.5</v>
      </c>
      <c r="R20" t="str">
        <f>B20&amp;"-"&amp;G20</f>
        <v>Granite Group-EG</v>
      </c>
    </row>
    <row r="21">
      <c r="A21" t="inlineStr">
        <is>
          <t>S03020</t>
        </is>
      </c>
      <c r="B21" t="inlineStr">
        <is>
          <t>Titan Corp</t>
        </is>
      </c>
      <c r="C21" t="inlineStr">
        <is>
          <t>SME</t>
        </is>
      </c>
      <c r="D21" t="inlineStr">
        <is>
          <t>EMEA</t>
        </is>
      </c>
      <c r="E21" t="inlineStr">
        <is>
          <t>Revolver</t>
        </is>
      </c>
      <c r="F21" t="inlineStr">
        <is>
          <t>A</t>
        </is>
      </c>
      <c r="G21" t="inlineStr">
        <is>
          <t>EG</t>
        </is>
      </c>
      <c r="H21" t="inlineStr">
        <is>
          <t>USD</t>
        </is>
      </c>
      <c r="I21" t="n">
        <v>107560</v>
      </c>
      <c r="J21" t="n">
        <v>96804</v>
      </c>
      <c r="K21" s="1" t="n">
        <v>47734</v>
      </c>
      <c r="L21">
        <f>VLOOKUP(H21,FX!$A$2:$B$8,2,FALSE)</f>
        <v>1</v>
      </c>
      <c r="M21">
        <f>ROUND(I21*L21,2)</f>
        <v>107560</v>
      </c>
      <c r="N21">
        <f>VLOOKUP(F21,Ratings!$A$2:$C$7,3,FALSE)</f>
        <v>0.5</v>
      </c>
      <c r="O21">
        <f>IF(M21&lt;=1000000,0.7619,1)</f>
        <v>0.7619</v>
      </c>
      <c r="P21">
        <f>ROUND(M21*N21*O21,2)</f>
        <v>40974.98</v>
      </c>
      <c r="Q21">
        <f>ROUND(P21*0.08,2)</f>
        <v>3278</v>
      </c>
      <c r="R21" t="str">
        <f>B21&amp;"-"&amp;G21</f>
        <v>Titan Corp-EG</v>
      </c>
    </row>
    <row r="22">
      <c r="A22" t="inlineStr">
        <is>
          <t>S03021</t>
        </is>
      </c>
      <c r="B22" t="inlineStr">
        <is>
          <t>Quartz Corp</t>
        </is>
      </c>
      <c r="C22" t="inlineStr">
        <is>
          <t>SME</t>
        </is>
      </c>
      <c r="D22" t="inlineStr">
        <is>
          <t>APAC</t>
        </is>
      </c>
      <c r="E22" t="inlineStr">
        <is>
          <t>Personal Loan</t>
        </is>
      </c>
      <c r="F22" t="inlineStr">
        <is>
          <t>BB</t>
        </is>
      </c>
      <c r="G22" t="inlineStr">
        <is>
          <t>IN</t>
        </is>
      </c>
      <c r="H22" t="inlineStr">
        <is>
          <t>INR</t>
        </is>
      </c>
      <c r="I22" t="n">
        <v>25841</v>
      </c>
      <c r="J22" t="n">
        <v>0</v>
      </c>
      <c r="K22" s="1" t="n">
        <v>46788</v>
      </c>
      <c r="L22">
        <f>VLOOKUP(H22,FX!$A$2:$B$8,2,FALSE)</f>
        <v>0.012</v>
      </c>
      <c r="M22">
        <f>ROUND(I22*L22,2)</f>
        <v>310.09</v>
      </c>
      <c r="N22">
        <f>VLOOKUP(F22,Ratings!$A$2:$C$7,3,FALSE)</f>
        <v>1</v>
      </c>
      <c r="O22">
        <f>IF(M22&lt;=1000000,0.7619,1)</f>
        <v>0.7619</v>
      </c>
      <c r="P22">
        <f>ROUND(M22*N22*O22,2)</f>
        <v>236.26</v>
      </c>
      <c r="Q22">
        <f>ROUND(P22*0.08,2)</f>
        <v>18.9</v>
      </c>
      <c r="R22" t="str">
        <f>B22&amp;"-"&amp;G22</f>
        <v>Quartz Corp-IN</v>
      </c>
    </row>
    <row r="23">
      <c r="A23" t="inlineStr">
        <is>
          <t>S03022</t>
        </is>
      </c>
      <c r="B23" t="inlineStr">
        <is>
          <t>Keystone Ltd</t>
        </is>
      </c>
      <c r="C23" t="inlineStr">
        <is>
          <t>SME</t>
        </is>
      </c>
      <c r="D23" t="inlineStr">
        <is>
          <t>EMEA</t>
        </is>
      </c>
      <c r="E23" t="inlineStr">
        <is>
          <t>Personal Loan</t>
        </is>
      </c>
      <c r="F23" t="inlineStr">
        <is>
          <t>A</t>
        </is>
      </c>
      <c r="G23" t="inlineStr">
        <is>
          <t>AE</t>
        </is>
      </c>
      <c r="H23" t="inlineStr">
        <is>
          <t>AED</t>
        </is>
      </c>
      <c r="I23" t="n">
        <v>335478</v>
      </c>
      <c r="J23" t="n">
        <v>100643</v>
      </c>
      <c r="K23" s="1" t="n">
        <v>47894</v>
      </c>
      <c r="L23">
        <f>VLOOKUP(H23,FX!$A$2:$B$8,2,FALSE)</f>
        <v>0.2723</v>
      </c>
      <c r="M23">
        <f>ROUND(I23*L23,2)</f>
        <v>91350.66</v>
      </c>
      <c r="N23">
        <f>VLOOKUP(F23,Ratings!$A$2:$C$7,3,FALSE)</f>
        <v>0.5</v>
      </c>
      <c r="O23">
        <f>IF(M23&lt;=1000000,0.7619,1)</f>
        <v>0.7619</v>
      </c>
      <c r="P23">
        <f>ROUND(M23*N23*O23,2)</f>
        <v>34800.03</v>
      </c>
      <c r="Q23">
        <f>ROUND(P23*0.08,2)</f>
        <v>2784</v>
      </c>
      <c r="R23" t="str">
        <f>B23&amp;"-"&amp;G23</f>
        <v>Keystone Ltd-AE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PD</t>
        </is>
      </c>
      <c r="C1" t="inlineStr">
        <is>
          <t>RiskWeight</t>
        </is>
      </c>
    </row>
    <row r="2">
      <c r="A2" t="inlineStr">
        <is>
          <t>AAA</t>
        </is>
      </c>
      <c r="B2" t="n">
        <v>0.0003</v>
      </c>
      <c r="C2" t="n">
        <v>0.2</v>
      </c>
    </row>
    <row r="3">
      <c r="A3" t="inlineStr">
        <is>
          <t>AA</t>
        </is>
      </c>
      <c r="B3" t="n">
        <v>0.001</v>
      </c>
      <c r="C3" t="n">
        <v>0.2</v>
      </c>
    </row>
    <row r="4">
      <c r="A4" t="inlineStr">
        <is>
          <t>A</t>
        </is>
      </c>
      <c r="B4" t="n">
        <v>0.003</v>
      </c>
      <c r="C4" t="n">
        <v>0.5</v>
      </c>
    </row>
    <row r="5">
      <c r="A5" t="inlineStr">
        <is>
          <t>BBB</t>
        </is>
      </c>
      <c r="B5" t="n">
        <v>0.01</v>
      </c>
      <c r="C5" t="n">
        <v>1</v>
      </c>
    </row>
    <row r="6">
      <c r="A6" t="inlineStr">
        <is>
          <t>BB</t>
        </is>
      </c>
      <c r="B6" t="n">
        <v>0.04</v>
      </c>
      <c r="C6" t="n">
        <v>1</v>
      </c>
    </row>
    <row r="7">
      <c r="A7" t="inlineStr">
        <is>
          <t>B</t>
        </is>
      </c>
      <c r="B7" t="n">
        <v>0.1</v>
      </c>
      <c r="C7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LGD</t>
        </is>
      </c>
      <c r="C1" t="inlineStr">
        <is>
          <t>CollateralHaircut</t>
        </is>
      </c>
    </row>
    <row r="2">
      <c r="A2" t="inlineStr">
        <is>
          <t>Mortgage</t>
        </is>
      </c>
      <c r="B2" t="n">
        <v>0.15</v>
      </c>
      <c r="C2" t="n">
        <v>0.3</v>
      </c>
    </row>
    <row r="3">
      <c r="A3" t="inlineStr">
        <is>
          <t>Credit Card</t>
        </is>
      </c>
      <c r="B3" t="n">
        <v>0.65</v>
      </c>
      <c r="C3" t="n">
        <v>0</v>
      </c>
    </row>
    <row r="4">
      <c r="A4" t="inlineStr">
        <is>
          <t>Personal Loan</t>
        </is>
      </c>
      <c r="B4" t="n">
        <v>0.45</v>
      </c>
      <c r="C4" t="n">
        <v>0.05</v>
      </c>
    </row>
    <row r="5">
      <c r="A5" t="inlineStr">
        <is>
          <t>Term Loan</t>
        </is>
      </c>
      <c r="B5" t="n">
        <v>0.35</v>
      </c>
      <c r="C5" t="n">
        <v>0.1</v>
      </c>
    </row>
    <row r="6">
      <c r="A6" t="inlineStr">
        <is>
          <t>Revolver</t>
        </is>
      </c>
      <c r="B6" t="n">
        <v>0.4</v>
      </c>
      <c r="C6" t="n">
        <v>0.15</v>
      </c>
    </row>
    <row r="7">
      <c r="A7" t="inlineStr">
        <is>
          <t>Trade Finance</t>
        </is>
      </c>
      <c r="B7" t="n">
        <v>0.3</v>
      </c>
      <c r="C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CountryRisk</t>
        </is>
      </c>
    </row>
    <row r="2">
      <c r="A2" t="inlineStr">
        <is>
          <t>UK</t>
        </is>
      </c>
      <c r="B2" t="inlineStr">
        <is>
          <t>EMEA</t>
        </is>
      </c>
      <c r="C2" t="inlineStr">
        <is>
          <t>Low</t>
        </is>
      </c>
    </row>
    <row r="3">
      <c r="A3" t="inlineStr">
        <is>
          <t>DE</t>
        </is>
      </c>
      <c r="B3" t="inlineStr">
        <is>
          <t>EMEA</t>
        </is>
      </c>
      <c r="C3" t="inlineStr">
        <is>
          <t>Low</t>
        </is>
      </c>
    </row>
    <row r="4">
      <c r="A4" t="inlineStr">
        <is>
          <t>FR</t>
        </is>
      </c>
      <c r="B4" t="inlineStr">
        <is>
          <t>EMEA</t>
        </is>
      </c>
      <c r="C4" t="inlineStr">
        <is>
          <t>Low</t>
        </is>
      </c>
    </row>
    <row r="5">
      <c r="A5" t="inlineStr">
        <is>
          <t>AE</t>
        </is>
      </c>
      <c r="B5" t="inlineStr">
        <is>
          <t>EMEA</t>
        </is>
      </c>
      <c r="C5" t="inlineStr">
        <is>
          <t>Medium</t>
        </is>
      </c>
    </row>
    <row r="6">
      <c r="A6" t="inlineStr">
        <is>
          <t>EG</t>
        </is>
      </c>
      <c r="B6" t="inlineStr">
        <is>
          <t>EMEA</t>
        </is>
      </c>
      <c r="C6" t="inlineStr">
        <is>
          <t>High</t>
        </is>
      </c>
    </row>
    <row r="7">
      <c r="A7" t="inlineStr">
        <is>
          <t>SG</t>
        </is>
      </c>
      <c r="B7" t="inlineStr">
        <is>
          <t>APAC</t>
        </is>
      </c>
      <c r="C7" t="inlineStr">
        <is>
          <t>Low</t>
        </is>
      </c>
    </row>
    <row r="8">
      <c r="A8" t="inlineStr">
        <is>
          <t>IN</t>
        </is>
      </c>
      <c r="B8" t="inlineStr">
        <is>
          <t>APAC</t>
        </is>
      </c>
      <c r="C8" t="inlineStr">
        <is>
          <t>Medium</t>
        </is>
      </c>
    </row>
    <row r="9">
      <c r="A9" t="inlineStr">
        <is>
          <t>JP</t>
        </is>
      </c>
      <c r="B9" t="inlineStr">
        <is>
          <t>APAC</t>
        </is>
      </c>
      <c r="C9" t="inlineStr">
        <is>
          <t>Low</t>
        </is>
      </c>
    </row>
    <row r="10">
      <c r="A10" t="inlineStr">
        <is>
          <t>ID</t>
        </is>
      </c>
      <c r="B10" t="inlineStr">
        <is>
          <t>APAC</t>
        </is>
      </c>
      <c r="C10" t="inlineStr">
        <is>
          <t>High</t>
        </is>
      </c>
    </row>
    <row r="11">
      <c r="A11" t="inlineStr">
        <is>
          <t>US</t>
        </is>
      </c>
      <c r="B11" t="inlineStr">
        <is>
          <t>AMER</t>
        </is>
      </c>
      <c r="C11" t="inlineStr">
        <is>
          <t>Low</t>
        </is>
      </c>
    </row>
    <row r="12">
      <c r="A12" t="inlineStr">
        <is>
          <t>BR</t>
        </is>
      </c>
      <c r="B12" t="inlineStr">
        <is>
          <t>AMER</t>
        </is>
      </c>
      <c r="C12" t="inlineStr">
        <is>
          <t>High</t>
        </is>
      </c>
    </row>
    <row r="13">
      <c r="A13" t="inlineStr">
        <is>
          <t>CA</t>
        </is>
      </c>
      <c r="B13" t="inlineStr">
        <is>
          <t>AMER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RateToUSD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EUR</t>
        </is>
      </c>
      <c r="B3" t="n">
        <v>1.08</v>
      </c>
    </row>
    <row r="4">
      <c r="A4" t="inlineStr">
        <is>
          <t>GBP</t>
        </is>
      </c>
      <c r="B4" t="n">
        <v>1.27</v>
      </c>
    </row>
    <row r="5">
      <c r="A5" t="inlineStr">
        <is>
          <t>AED</t>
        </is>
      </c>
      <c r="B5" t="n">
        <v>0.2723</v>
      </c>
    </row>
    <row r="6">
      <c r="A6" t="inlineStr">
        <is>
          <t>SGD</t>
        </is>
      </c>
      <c r="B6" t="n">
        <v>0.74</v>
      </c>
    </row>
    <row r="7">
      <c r="A7" t="inlineStr">
        <is>
          <t>JPY</t>
        </is>
      </c>
      <c r="B7" t="n">
        <v>0.0067</v>
      </c>
    </row>
    <row r="8">
      <c r="A8" t="inlineStr">
        <is>
          <t>INR</t>
        </is>
      </c>
      <c r="B8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2026-10-26T05:54:02Z</dcterms:created>
  <dcterms:modified xmlns:dcterms="http://purl.org/dc/terms/" xmlns:xsi="http://www.w3.org/2001/XMLSchema-instance" xsi:type="dcterms:W3CDTF">2026-10-26T05:54:02Z</dcterms:modified>
</cp:coreProperties>
</file>